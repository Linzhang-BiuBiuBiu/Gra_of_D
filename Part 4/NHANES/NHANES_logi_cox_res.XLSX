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onedrive\桌面\RMR与心衰\三个队列\NHANES\"/>
    </mc:Choice>
  </mc:AlternateContent>
  <xr:revisionPtr revIDLastSave="0" documentId="13_ncr:1_{71D16F51-AC38-469B-8EE8-4E2A47290FB6}" xr6:coauthVersionLast="47" xr6:coauthVersionMax="47" xr10:uidLastSave="{00000000-0000-0000-0000-000000000000}"/>
  <bookViews>
    <workbookView xWindow="-110" yWindow="-110" windowWidth="21820" windowHeight="14020" activeTab="7" xr2:uid="{00000000-000D-0000-FFFF-FFFF00000000}"/>
  </bookViews>
  <sheets>
    <sheet name="uni_lo" sheetId="1" r:id="rId1"/>
    <sheet name="adj_lo1" sheetId="2" r:id="rId2"/>
    <sheet name="adj_lo2" sheetId="3" r:id="rId3"/>
    <sheet name="adj_log_merge" sheetId="7" r:id="rId4"/>
    <sheet name="uni_cox" sheetId="4" r:id="rId5"/>
    <sheet name="adj_cox1" sheetId="5" r:id="rId6"/>
    <sheet name="adj_cox2" sheetId="6" r:id="rId7"/>
    <sheet name="adj_cox_merge" sheetId="8" r:id="rId8"/>
  </sheets>
  <calcPr calcId="191029"/>
</workbook>
</file>

<file path=xl/calcChain.xml><?xml version="1.0" encoding="utf-8"?>
<calcChain xmlns="http://schemas.openxmlformats.org/spreadsheetml/2006/main">
  <c r="J1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2" i="8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2" i="7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I2" i="1"/>
  <c r="J2" i="1"/>
  <c r="H2" i="1"/>
</calcChain>
</file>

<file path=xl/sharedStrings.xml><?xml version="1.0" encoding="utf-8"?>
<sst xmlns="http://schemas.openxmlformats.org/spreadsheetml/2006/main" count="2036" uniqueCount="543">
  <si>
    <t>character</t>
  </si>
  <si>
    <t>Estimate</t>
  </si>
  <si>
    <t>Std. Error</t>
  </si>
  <si>
    <t>t value</t>
  </si>
  <si>
    <t>Pr(&gt;|t|)</t>
  </si>
  <si>
    <t>OR</t>
  </si>
  <si>
    <t>95% CI</t>
  </si>
  <si>
    <t>Age</t>
  </si>
  <si>
    <t>0.07</t>
  </si>
  <si>
    <t>0</t>
  </si>
  <si>
    <t>37.28</t>
  </si>
  <si>
    <t>&lt;0.0001</t>
  </si>
  <si>
    <t>1.08</t>
  </si>
  <si>
    <t>1.08(1.07,1.08)</t>
  </si>
  <si>
    <t>RMR</t>
  </si>
  <si>
    <t>0.85</t>
  </si>
  <si>
    <t>0.04</t>
  </si>
  <si>
    <t>19.98</t>
  </si>
  <si>
    <t>2.33</t>
  </si>
  <si>
    <t>2.33(2.15,2.54)</t>
  </si>
  <si>
    <t>MCHC</t>
  </si>
  <si>
    <t>-2.77</t>
  </si>
  <si>
    <t>0.43</t>
  </si>
  <si>
    <t>-6.5</t>
  </si>
  <si>
    <t>0.06</t>
  </si>
  <si>
    <t>0.06(0.03,0.15)</t>
  </si>
  <si>
    <t>ALB</t>
  </si>
  <si>
    <t>-1.39</t>
  </si>
  <si>
    <t>-20.91</t>
  </si>
  <si>
    <t>0.25</t>
  </si>
  <si>
    <t>0.25(0.22,0.28)</t>
  </si>
  <si>
    <t>RDW</t>
  </si>
  <si>
    <t>0.31</t>
  </si>
  <si>
    <t>0.01</t>
  </si>
  <si>
    <t>21.32</t>
  </si>
  <si>
    <t>1.37</t>
  </si>
  <si>
    <t>1.37(1.33,1.41)</t>
  </si>
  <si>
    <t>WBC</t>
  </si>
  <si>
    <t>0.03</t>
  </si>
  <si>
    <t>0.02</t>
  </si>
  <si>
    <t>1.44</t>
  </si>
  <si>
    <t>0.15</t>
  </si>
  <si>
    <t>1.03</t>
  </si>
  <si>
    <t>1.03(0.99,1.07)</t>
  </si>
  <si>
    <t>LymP</t>
  </si>
  <si>
    <t>-0.07</t>
  </si>
  <si>
    <t>-15.72</t>
  </si>
  <si>
    <t>0.94</t>
  </si>
  <si>
    <t>0.94(0.93,0.94)</t>
  </si>
  <si>
    <t>Mon</t>
  </si>
  <si>
    <t>1.21</t>
  </si>
  <si>
    <t>0.17</t>
  </si>
  <si>
    <t>7.25</t>
  </si>
  <si>
    <t>3.35</t>
  </si>
  <si>
    <t>3.35(2.41,4.66)</t>
  </si>
  <si>
    <t>SegneP</t>
  </si>
  <si>
    <t>11.43</t>
  </si>
  <si>
    <t>1.04</t>
  </si>
  <si>
    <t>1.04(1.03,1.05)</t>
  </si>
  <si>
    <t>EoP</t>
  </si>
  <si>
    <t>6.15</t>
  </si>
  <si>
    <t>1.06</t>
  </si>
  <si>
    <t>1.06(1.04,1.09)</t>
  </si>
  <si>
    <t>Lym</t>
  </si>
  <si>
    <t>-0.3</t>
  </si>
  <si>
    <t>0.09</t>
  </si>
  <si>
    <t>-3.56</t>
  </si>
  <si>
    <t>&lt;0.001</t>
  </si>
  <si>
    <t>0.74</t>
  </si>
  <si>
    <t>0.74(0.62,0.87)</t>
  </si>
  <si>
    <t>MonP</t>
  </si>
  <si>
    <t>0.08</t>
  </si>
  <si>
    <t>5.62</t>
  </si>
  <si>
    <t>1.09</t>
  </si>
  <si>
    <t>1.09(1.06,1.12)</t>
  </si>
  <si>
    <t>SeneP</t>
  </si>
  <si>
    <t>0.12</t>
  </si>
  <si>
    <t>9.41</t>
  </si>
  <si>
    <t>1.13</t>
  </si>
  <si>
    <t>1.13(1.10,1.16)</t>
  </si>
  <si>
    <t>Eo</t>
  </si>
  <si>
    <t>0.89</t>
  </si>
  <si>
    <t>0.11</t>
  </si>
  <si>
    <t>8.18</t>
  </si>
  <si>
    <t>2.43</t>
  </si>
  <si>
    <t>2.43(1.96,3.01)</t>
  </si>
  <si>
    <t>Ba</t>
  </si>
  <si>
    <t>1.96</t>
  </si>
  <si>
    <t>0.48</t>
  </si>
  <si>
    <t>4.1</t>
  </si>
  <si>
    <t>7.09</t>
  </si>
  <si>
    <t>7.09(2.76,18.18)</t>
  </si>
  <si>
    <t>RBC</t>
  </si>
  <si>
    <t>-0.86</t>
  </si>
  <si>
    <t>-12.31</t>
  </si>
  <si>
    <t>0.42</t>
  </si>
  <si>
    <t>0.42(0.37,0.49)</t>
  </si>
  <si>
    <t>Hg</t>
  </si>
  <si>
    <t>-0.24</t>
  </si>
  <si>
    <t>-12.37</t>
  </si>
  <si>
    <t>0.78</t>
  </si>
  <si>
    <t>0.78(0.75,0.82)</t>
  </si>
  <si>
    <t>Hem</t>
  </si>
  <si>
    <t>-0.08</t>
  </si>
  <si>
    <t>-9.93</t>
  </si>
  <si>
    <t>0.93</t>
  </si>
  <si>
    <t>0.93(0.91,0.94)</t>
  </si>
  <si>
    <t>Plt</t>
  </si>
  <si>
    <t>-0.01</t>
  </si>
  <si>
    <t>-9.26</t>
  </si>
  <si>
    <t>0.99</t>
  </si>
  <si>
    <t>0.99(0.99,1.00)</t>
  </si>
  <si>
    <t>MPV</t>
  </si>
  <si>
    <t>0.13</t>
  </si>
  <si>
    <t>3.11</t>
  </si>
  <si>
    <t>0.002</t>
  </si>
  <si>
    <t>1.14</t>
  </si>
  <si>
    <t>1.14(1.05,1.24)</t>
  </si>
  <si>
    <t>BUN</t>
  </si>
  <si>
    <t>0.1</t>
  </si>
  <si>
    <t>28.97</t>
  </si>
  <si>
    <t>1.11</t>
  </si>
  <si>
    <t>1.11(1.10,1.12)</t>
  </si>
  <si>
    <t>Ca</t>
  </si>
  <si>
    <t>-0.37</t>
  </si>
  <si>
    <t>-4.27</t>
  </si>
  <si>
    <t>0.69</t>
  </si>
  <si>
    <t>0.69(0.58,0.82)</t>
  </si>
  <si>
    <t>TC</t>
  </si>
  <si>
    <t>-8.62</t>
  </si>
  <si>
    <t>0.99(0.99,0.99)</t>
  </si>
  <si>
    <t>HCO3</t>
  </si>
  <si>
    <t>4.99</t>
  </si>
  <si>
    <t>1.07</t>
  </si>
  <si>
    <t>1.07(1.04,1.10)</t>
  </si>
  <si>
    <t>GGT</t>
  </si>
  <si>
    <t>6.68</t>
  </si>
  <si>
    <t>1</t>
  </si>
  <si>
    <t>1.00(1.00,1.00)</t>
  </si>
  <si>
    <t>Glu</t>
  </si>
  <si>
    <t>20.55</t>
  </si>
  <si>
    <t>1.01</t>
  </si>
  <si>
    <t>1.01(1.01,1.01)</t>
  </si>
  <si>
    <t>Fe</t>
  </si>
  <si>
    <t>-7.95</t>
  </si>
  <si>
    <t>TP</t>
  </si>
  <si>
    <t>-0.4</t>
  </si>
  <si>
    <t>-6.57</t>
  </si>
  <si>
    <t>0.67</t>
  </si>
  <si>
    <t>0.67(0.60,0.76)</t>
  </si>
  <si>
    <t>TG</t>
  </si>
  <si>
    <t>UA</t>
  </si>
  <si>
    <t>19.33</t>
  </si>
  <si>
    <t>1.53</t>
  </si>
  <si>
    <t>1.53(1.46,1.59)</t>
  </si>
  <si>
    <t>Cl</t>
  </si>
  <si>
    <t>-0.11</t>
  </si>
  <si>
    <t>-10.7</t>
  </si>
  <si>
    <t>0.9</t>
  </si>
  <si>
    <t>0.90(0.88,0.92)</t>
  </si>
  <si>
    <t>GLB</t>
  </si>
  <si>
    <t>0.53</t>
  </si>
  <si>
    <t>9.2</t>
  </si>
  <si>
    <t>1.7</t>
  </si>
  <si>
    <t>1.70(1.51,1.90)</t>
  </si>
  <si>
    <t>ntProBNP</t>
  </si>
  <si>
    <t>3.19</t>
  </si>
  <si>
    <t>0.003</t>
  </si>
  <si>
    <t>Sex</t>
  </si>
  <si>
    <t/>
  </si>
  <si>
    <t xml:space="preserve">    Female</t>
  </si>
  <si>
    <t>ref</t>
  </si>
  <si>
    <t xml:space="preserve">    Male</t>
  </si>
  <si>
    <t>0.2</t>
  </si>
  <si>
    <t>3.64</t>
  </si>
  <si>
    <t>1.23</t>
  </si>
  <si>
    <t>1.23(1.10,1.37)</t>
  </si>
  <si>
    <t>Ethnicity</t>
  </si>
  <si>
    <t xml:space="preserve">    Mexican American</t>
  </si>
  <si>
    <t xml:space="preserve">    Non-Hispanic Black</t>
  </si>
  <si>
    <t>0.14</t>
  </si>
  <si>
    <t>7.72</t>
  </si>
  <si>
    <t>2.84</t>
  </si>
  <si>
    <t>2.84(2.18,3.71)</t>
  </si>
  <si>
    <t xml:space="preserve">    Non-Hispanic White</t>
  </si>
  <si>
    <t>0.86</t>
  </si>
  <si>
    <t>7.33</t>
  </si>
  <si>
    <t>2.37</t>
  </si>
  <si>
    <t>2.37(1.88,2.98)</t>
  </si>
  <si>
    <t xml:space="preserve">    Other Hispanic</t>
  </si>
  <si>
    <t>3.23</t>
  </si>
  <si>
    <t>0.001</t>
  </si>
  <si>
    <t>1.70(1.23,2.36)</t>
  </si>
  <si>
    <t xml:space="preserve">    Other Race - Including Multi-Racial</t>
  </si>
  <si>
    <t>2.17</t>
  </si>
  <si>
    <t>1.54</t>
  </si>
  <si>
    <t>1.54(1.04,2.27)</t>
  </si>
  <si>
    <t>ASCVD</t>
  </si>
  <si>
    <t>3.36</t>
  </si>
  <si>
    <t>49.21</t>
  </si>
  <si>
    <t>28.84</t>
  </si>
  <si>
    <t>28.84(25.20,33.00)</t>
  </si>
  <si>
    <t>angina</t>
  </si>
  <si>
    <t>3</t>
  </si>
  <si>
    <t>37.02</t>
  </si>
  <si>
    <t>20.17</t>
  </si>
  <si>
    <t>20.17(17.18,23.67)</t>
  </si>
  <si>
    <t>heart.attack</t>
  </si>
  <si>
    <t>3.46</t>
  </si>
  <si>
    <t>50.05</t>
  </si>
  <si>
    <t>31.78</t>
  </si>
  <si>
    <t>31.78(27.73,36.43)</t>
  </si>
  <si>
    <t>Hypertension</t>
  </si>
  <si>
    <t>1.93</t>
  </si>
  <si>
    <t>25.28</t>
  </si>
  <si>
    <t>6.91</t>
  </si>
  <si>
    <t>6.91(5.94,8.03)</t>
  </si>
  <si>
    <t>rownames(mul_glm_model_RMR)</t>
  </si>
  <si>
    <t>CI</t>
  </si>
  <si>
    <t>P</t>
  </si>
  <si>
    <t>1.71-2.25</t>
  </si>
  <si>
    <t>1.02-1.02</t>
  </si>
  <si>
    <t>0.51-0.81</t>
  </si>
  <si>
    <t>0.5-7.24</t>
  </si>
  <si>
    <t>0.86-1.13</t>
  </si>
  <si>
    <t>0.18-3.22</t>
  </si>
  <si>
    <t>0.87-1.15</t>
  </si>
  <si>
    <t>0.79-1.09</t>
  </si>
  <si>
    <t>0.14-1.93</t>
  </si>
  <si>
    <t>0.13-1.89</t>
  </si>
  <si>
    <t>0.28-6.12</t>
  </si>
  <si>
    <t>0.19-3.67</t>
  </si>
  <si>
    <t>0.36-0.67</t>
  </si>
  <si>
    <t>0.8-1.5</t>
  </si>
  <si>
    <t>0.93-1.17</t>
  </si>
  <si>
    <t>1-1</t>
  </si>
  <si>
    <t>0.88-1.12</t>
  </si>
  <si>
    <t>0.68-1.05</t>
  </si>
  <si>
    <t>0.99-1.03</t>
  </si>
  <si>
    <t>1.04-1.37</t>
  </si>
  <si>
    <t>1.16-1.31</t>
  </si>
  <si>
    <t>0.93-0.97</t>
  </si>
  <si>
    <t>SexMale</t>
  </si>
  <si>
    <t>0.65-0.93</t>
  </si>
  <si>
    <t>3.69-5.91</t>
  </si>
  <si>
    <t>1.61-2.48</t>
  </si>
  <si>
    <t>2.8-4.15</t>
  </si>
  <si>
    <t>1.41-2.09</t>
  </si>
  <si>
    <t>rownames(mul_glm_model_MCHC)</t>
  </si>
  <si>
    <t>0.27-38.65</t>
  </si>
  <si>
    <t>1.19-1.29</t>
  </si>
  <si>
    <t>0.48-7.24</t>
  </si>
  <si>
    <t>0.18-3.34</t>
  </si>
  <si>
    <t>0.79-1.08</t>
  </si>
  <si>
    <t>0.14-2.01</t>
  </si>
  <si>
    <t>0.84-1.15</t>
  </si>
  <si>
    <t>0.13-1.96</t>
  </si>
  <si>
    <t>0.28-6.23</t>
  </si>
  <si>
    <t>0.19-3.83</t>
  </si>
  <si>
    <t>0.37-0.67</t>
  </si>
  <si>
    <t>0.35-1.28</t>
  </si>
  <si>
    <t>0.97-1.55</t>
  </si>
  <si>
    <t>1.05-1.38</t>
  </si>
  <si>
    <t>2.8-4.14</t>
  </si>
  <si>
    <t>1.41-2.08</t>
  </si>
  <si>
    <t>coef</t>
  </si>
  <si>
    <t>se(coef)</t>
  </si>
  <si>
    <t>robust se</t>
  </si>
  <si>
    <t>z</t>
  </si>
  <si>
    <t>Pr(&gt;|z|)</t>
  </si>
  <si>
    <t>HR</t>
  </si>
  <si>
    <t>13.11</t>
  </si>
  <si>
    <t>1.06(1.05,1.07)</t>
  </si>
  <si>
    <t>0.68</t>
  </si>
  <si>
    <t>0.05</t>
  </si>
  <si>
    <t>9.52</t>
  </si>
  <si>
    <t>1.97</t>
  </si>
  <si>
    <t>1.97(1.71,2.27)</t>
  </si>
  <si>
    <t>-1.59</t>
  </si>
  <si>
    <t>0.35</t>
  </si>
  <si>
    <t>0.39</t>
  </si>
  <si>
    <t>-4.11</t>
  </si>
  <si>
    <t>0.20(0.10,0.44)</t>
  </si>
  <si>
    <t>-0.81</t>
  </si>
  <si>
    <t>-6.54</t>
  </si>
  <si>
    <t>0.45</t>
  </si>
  <si>
    <t>0.45(0.35,0.57)</t>
  </si>
  <si>
    <t>11.01</t>
  </si>
  <si>
    <t>1.28</t>
  </si>
  <si>
    <t>1.28(1.23,1.34)</t>
  </si>
  <si>
    <t>1.91</t>
  </si>
  <si>
    <t>1.03(1.00,1.06)</t>
  </si>
  <si>
    <t>-0.05</t>
  </si>
  <si>
    <t>-7.28</t>
  </si>
  <si>
    <t>0.95</t>
  </si>
  <si>
    <t>0.95(0.94,0.96)</t>
  </si>
  <si>
    <t>0.21</t>
  </si>
  <si>
    <t>5.06</t>
  </si>
  <si>
    <t>2.92</t>
  </si>
  <si>
    <t>2.92(1.93,4.41)</t>
  </si>
  <si>
    <t>5.97</t>
  </si>
  <si>
    <t>1.03(1.02,1.05)</t>
  </si>
  <si>
    <t>0.5</t>
  </si>
  <si>
    <t>0.61</t>
  </si>
  <si>
    <t>1.01(0.97,1.05)</t>
  </si>
  <si>
    <t>-0.29</t>
  </si>
  <si>
    <t>-2.57</t>
  </si>
  <si>
    <t>0.75</t>
  </si>
  <si>
    <t>0.75(0.60,0.93)</t>
  </si>
  <si>
    <t>4.57</t>
  </si>
  <si>
    <t>1.07(1.04,1.09)</t>
  </si>
  <si>
    <t>4.39</t>
  </si>
  <si>
    <t>1.11(1.06,1.17)</t>
  </si>
  <si>
    <t>0.18</t>
  </si>
  <si>
    <t>0.22</t>
  </si>
  <si>
    <t>0.65</t>
  </si>
  <si>
    <t>0.51</t>
  </si>
  <si>
    <t>1.16</t>
  </si>
  <si>
    <t>1.16(0.75,1.80)</t>
  </si>
  <si>
    <t>-0.77</t>
  </si>
  <si>
    <t>0.6</t>
  </si>
  <si>
    <t>0.83</t>
  </si>
  <si>
    <t>-0.93</t>
  </si>
  <si>
    <t>0.46</t>
  </si>
  <si>
    <t>0.46(0.09,2.36)</t>
  </si>
  <si>
    <t>-0.68</t>
  </si>
  <si>
    <t>-8.01</t>
  </si>
  <si>
    <t>0.51(0.43,0.60)</t>
  </si>
  <si>
    <t>-0.19</t>
  </si>
  <si>
    <t>-7.15</t>
  </si>
  <si>
    <t>0.82</t>
  </si>
  <si>
    <t>0.82(0.78,0.87)</t>
  </si>
  <si>
    <t>-0.06</t>
  </si>
  <si>
    <t>-6.13</t>
  </si>
  <si>
    <t>0.94(0.92,0.96)</t>
  </si>
  <si>
    <t>-2.59</t>
  </si>
  <si>
    <t>-1.62</t>
  </si>
  <si>
    <t>0.10</t>
  </si>
  <si>
    <t>0.93(0.85,1.02)</t>
  </si>
  <si>
    <t>10.95</t>
  </si>
  <si>
    <t>-2.05</t>
  </si>
  <si>
    <t>0.79</t>
  </si>
  <si>
    <t>0.79(0.63,0.99)</t>
  </si>
  <si>
    <t>-2.08</t>
  </si>
  <si>
    <t>3.86</t>
  </si>
  <si>
    <t>1.08(1.04,1.12)</t>
  </si>
  <si>
    <t>1.99</t>
  </si>
  <si>
    <t>-3.98</t>
  </si>
  <si>
    <t>-0.12</t>
  </si>
  <si>
    <t>-1.34</t>
  </si>
  <si>
    <t>0.89(0.74,1.06)</t>
  </si>
  <si>
    <t>-0.84</t>
  </si>
  <si>
    <t>0.40</t>
  </si>
  <si>
    <t>6.7</t>
  </si>
  <si>
    <t>1.15</t>
  </si>
  <si>
    <t>1.15(1.10,1.20)</t>
  </si>
  <si>
    <t>-5.61</t>
  </si>
  <si>
    <t>0.27</t>
  </si>
  <si>
    <t>3.08</t>
  </si>
  <si>
    <t>1.31</t>
  </si>
  <si>
    <t>1.31(1.10,1.55)</t>
  </si>
  <si>
    <t>4.32</t>
  </si>
  <si>
    <t>-0.1</t>
  </si>
  <si>
    <t>-1.07</t>
  </si>
  <si>
    <t>0.29</t>
  </si>
  <si>
    <t>0.91</t>
  </si>
  <si>
    <t>0.91(0.76,1.09)</t>
  </si>
  <si>
    <t>0.16</t>
  </si>
  <si>
    <t>1.07(0.78,1.46)</t>
  </si>
  <si>
    <t>2.64</t>
  </si>
  <si>
    <t>1.48</t>
  </si>
  <si>
    <t>1.48(1.11,1.97)</t>
  </si>
  <si>
    <t>-0.17</t>
  </si>
  <si>
    <t>0.28</t>
  </si>
  <si>
    <t>0.24</t>
  </si>
  <si>
    <t>-0.71</t>
  </si>
  <si>
    <t>0.85(0.53,1.34)</t>
  </si>
  <si>
    <t>0.23</t>
  </si>
  <si>
    <t>0.26</t>
  </si>
  <si>
    <t>1.26</t>
  </si>
  <si>
    <t>1.26(0.75,2.12)</t>
  </si>
  <si>
    <t>1.52</t>
  </si>
  <si>
    <t>1.16(0.96,1.40)</t>
  </si>
  <si>
    <t>-0.02</t>
  </si>
  <si>
    <t>-0.16</t>
  </si>
  <si>
    <t>0.88</t>
  </si>
  <si>
    <t>0.98</t>
  </si>
  <si>
    <t>0.98(0.80,1.21)</t>
  </si>
  <si>
    <t>0.87</t>
  </si>
  <si>
    <t>1.01(0.85,1.21)</t>
  </si>
  <si>
    <t>1.47</t>
  </si>
  <si>
    <t>1.17</t>
  </si>
  <si>
    <t>1.17(0.95,1.46)</t>
  </si>
  <si>
    <t>8.99</t>
  </si>
  <si>
    <t>1.06(1.04, 1.07)</t>
  </si>
  <si>
    <t>0.55</t>
  </si>
  <si>
    <t>5.15</t>
  </si>
  <si>
    <t>1.73</t>
  </si>
  <si>
    <t>1.73(1.40, 2.13)</t>
  </si>
  <si>
    <t>-0.65</t>
  </si>
  <si>
    <t>1.94</t>
  </si>
  <si>
    <t>1.82</t>
  </si>
  <si>
    <t>-0.36</t>
  </si>
  <si>
    <t>0.72</t>
  </si>
  <si>
    <t>0.52</t>
  </si>
  <si>
    <t>0.52(0.01,18.44)</t>
  </si>
  <si>
    <t>-0.18</t>
  </si>
  <si>
    <t>-0.23</t>
  </si>
  <si>
    <t>0.84</t>
  </si>
  <si>
    <t>0.84(0.18, 3.84)</t>
  </si>
  <si>
    <t>-1.06</t>
  </si>
  <si>
    <t>0.85(0.63, 1.15)</t>
  </si>
  <si>
    <t>1.1</t>
  </si>
  <si>
    <t>1.22</t>
  </si>
  <si>
    <t>3.00(0.52,17.46)</t>
  </si>
  <si>
    <t>-1.01</t>
  </si>
  <si>
    <t>0.86(0.63, 1.16)</t>
  </si>
  <si>
    <t>0.94(0.68, 1.31)</t>
  </si>
  <si>
    <t>0.19</t>
  </si>
  <si>
    <t>0.81</t>
  </si>
  <si>
    <t>1.21(0.26, 5.57)</t>
  </si>
  <si>
    <t>-1.05</t>
  </si>
  <si>
    <t>0.84(0.61, 1.16)</t>
  </si>
  <si>
    <t>0.37</t>
  </si>
  <si>
    <t>0.71</t>
  </si>
  <si>
    <t>1.33</t>
  </si>
  <si>
    <t>1.33(0.29, 6.20)</t>
  </si>
  <si>
    <t>-0.7</t>
  </si>
  <si>
    <t>0.50(0.07, 3.48)</t>
  </si>
  <si>
    <t>-1.86</t>
  </si>
  <si>
    <t>0.16(0.01, 2.12)</t>
  </si>
  <si>
    <t>-0.53</t>
  </si>
  <si>
    <t>-3.05</t>
  </si>
  <si>
    <t>0.59</t>
  </si>
  <si>
    <t>0.59(0.42, 0.83)</t>
  </si>
  <si>
    <t>-0.75</t>
  </si>
  <si>
    <t>0.90(0.68, 1.19)</t>
  </si>
  <si>
    <t>1.36</t>
  </si>
  <si>
    <t>1.07(0.97, 1.19)</t>
  </si>
  <si>
    <t>-3.03</t>
  </si>
  <si>
    <t>1.00(1.00, 1.00)</t>
  </si>
  <si>
    <t>-1.56</t>
  </si>
  <si>
    <t>0.92</t>
  </si>
  <si>
    <t>0.92(0.84, 1.02)</t>
  </si>
  <si>
    <t>4.46</t>
  </si>
  <si>
    <t>1.02</t>
  </si>
  <si>
    <t>1.02(1.01, 1.03)</t>
  </si>
  <si>
    <t>-0.14</t>
  </si>
  <si>
    <t>-1.22</t>
  </si>
  <si>
    <t>0.87(0.69, 1.09)</t>
  </si>
  <si>
    <t>2.08</t>
  </si>
  <si>
    <t>1.02(0.97, 1.06)</t>
  </si>
  <si>
    <t>4.03</t>
  </si>
  <si>
    <t>0.90</t>
  </si>
  <si>
    <t>-1.09</t>
  </si>
  <si>
    <t>0.96</t>
  </si>
  <si>
    <t>1.10(0.03,39.21)</t>
  </si>
  <si>
    <t>1.01(0.96, 1.06)</t>
  </si>
  <si>
    <t>-0.03</t>
  </si>
  <si>
    <t>-2.32</t>
  </si>
  <si>
    <t>0.97</t>
  </si>
  <si>
    <t>0.97(0.94, 0.99)</t>
  </si>
  <si>
    <t>0.98(0.03,34.63)</t>
  </si>
  <si>
    <t>1.14(0.89, 1.47)</t>
  </si>
  <si>
    <t>-0.25</t>
  </si>
  <si>
    <t>-1.45</t>
  </si>
  <si>
    <t>0.78(0.55, 1.09)</t>
  </si>
  <si>
    <t>1.07(0.79, 1.43)</t>
  </si>
  <si>
    <t>0.3</t>
  </si>
  <si>
    <t>0.84(0.50, 1.42)</t>
  </si>
  <si>
    <t>0.80</t>
  </si>
  <si>
    <t>0.93(0.52, 1.66)</t>
  </si>
  <si>
    <t>-0.04</t>
  </si>
  <si>
    <t>-0.33</t>
  </si>
  <si>
    <t>0.96(0.76, 1.22)</t>
  </si>
  <si>
    <t>1.14(0.93, 1.39)</t>
  </si>
  <si>
    <t>0.38</t>
  </si>
  <si>
    <t>1.10(0.89, 1.36)</t>
  </si>
  <si>
    <t>-1.65</t>
  </si>
  <si>
    <t>0.84(0.68, 1.03)</t>
  </si>
  <si>
    <t>9.01</t>
  </si>
  <si>
    <t>1.05</t>
  </si>
  <si>
    <t>1.05(1.04, 1.07)</t>
  </si>
  <si>
    <t>2.07</t>
  </si>
  <si>
    <t>2.2</t>
  </si>
  <si>
    <t>1.13(0.02,84.55)</t>
  </si>
  <si>
    <t>-0.63</t>
  </si>
  <si>
    <t>1.83</t>
  </si>
  <si>
    <t>-0.34</t>
  </si>
  <si>
    <t>0.73</t>
  </si>
  <si>
    <t>0.53(0.01,19.16)</t>
  </si>
  <si>
    <t>5.16</t>
  </si>
  <si>
    <t>1.18</t>
  </si>
  <si>
    <t>1.18(1.11, 1.26)</t>
  </si>
  <si>
    <t>-0.21</t>
  </si>
  <si>
    <t>0.85(0.18, 3.88)</t>
  </si>
  <si>
    <t>-1.04</t>
  </si>
  <si>
    <t>0.30</t>
  </si>
  <si>
    <t>2.98</t>
  </si>
  <si>
    <t>2.98(0.51,17.34)</t>
  </si>
  <si>
    <t>-0.15</t>
  </si>
  <si>
    <t>-0.99</t>
  </si>
  <si>
    <t>0.32</t>
  </si>
  <si>
    <t>1.19</t>
  </si>
  <si>
    <t>1.19(0.26, 5.50)</t>
  </si>
  <si>
    <t>-1.03</t>
  </si>
  <si>
    <t>0.85(0.62, 1.16)</t>
  </si>
  <si>
    <t>0.62</t>
  </si>
  <si>
    <t>1.32</t>
  </si>
  <si>
    <t>1.32(0.28, 6.13)</t>
  </si>
  <si>
    <t>-0.72</t>
  </si>
  <si>
    <t>0.47</t>
  </si>
  <si>
    <t>0.49</t>
  </si>
  <si>
    <t>0.49(0.07, 3.44)</t>
  </si>
  <si>
    <t>-1.85</t>
  </si>
  <si>
    <t>0.16(0.01, 2.14)</t>
  </si>
  <si>
    <t>-0.51</t>
  </si>
  <si>
    <t>-2.99</t>
  </si>
  <si>
    <t>0.60(0.43, 0.84)</t>
  </si>
  <si>
    <t>0.56</t>
  </si>
  <si>
    <t>-0.54</t>
  </si>
  <si>
    <t>0.74(0.25, 2.20)</t>
  </si>
  <si>
    <t>1.15(0.79, 1.66)</t>
  </si>
  <si>
    <t>4.44</t>
  </si>
  <si>
    <t>-1.23</t>
  </si>
  <si>
    <t>4.12</t>
  </si>
  <si>
    <t>1.95</t>
  </si>
  <si>
    <t>1.07(0.03,38.70)</t>
  </si>
  <si>
    <t>-2.33</t>
  </si>
  <si>
    <t>1.00</t>
  </si>
  <si>
    <t>1.01(0.03,36.22)</t>
  </si>
  <si>
    <t>-1.43</t>
  </si>
  <si>
    <t>0.78(0.55, 1.10)</t>
  </si>
  <si>
    <t>1.07(0.79, 1.44)</t>
  </si>
  <si>
    <t>-0.62</t>
  </si>
  <si>
    <t>0.85(0.50, 1.43)</t>
  </si>
  <si>
    <t>-0.26</t>
  </si>
  <si>
    <t>0.93(0.52, 1.65)</t>
  </si>
  <si>
    <t>1.27</t>
  </si>
  <si>
    <t>0.20</t>
  </si>
  <si>
    <t>-1.67</t>
  </si>
  <si>
    <t>Sex, male</t>
    <phoneticPr fontId="1" type="noConversion"/>
  </si>
  <si>
    <t>Heart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</si>
</sst>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opLeftCell="A10" workbookViewId="0">
      <selection activeCell="L33" sqref="L33:O33"/>
    </sheetView>
  </sheetViews>
  <sheetFormatPr defaultColWidth="10.90625" defaultRowHeight="14.5" x14ac:dyDescent="0.35"/>
  <cols>
    <col min="7" max="7" width="17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t="s">
        <v>217</v>
      </c>
      <c r="M1" t="s">
        <v>5</v>
      </c>
      <c r="N1" t="s">
        <v>218</v>
      </c>
      <c r="O1" t="s">
        <v>219</v>
      </c>
    </row>
    <row r="2" spans="1:15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f>INDEX(M:M,MATCH($A2,$L:$L,0))</f>
        <v>1.02</v>
      </c>
      <c r="I2" t="str">
        <f t="shared" ref="I2:J2" si="0">INDEX(N:N,MATCH($A2,$L:$L,0))</f>
        <v>1.02-1.02</v>
      </c>
      <c r="J2">
        <f t="shared" si="0"/>
        <v>0</v>
      </c>
      <c r="L2" t="s">
        <v>14</v>
      </c>
      <c r="M2">
        <v>1.96</v>
      </c>
      <c r="N2" t="s">
        <v>220</v>
      </c>
      <c r="O2">
        <v>0</v>
      </c>
    </row>
    <row r="3" spans="1:15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  <c r="H3">
        <f t="shared" ref="H3:H47" si="1">INDEX(M:M,MATCH($A3,$L:$L,0))</f>
        <v>1.96</v>
      </c>
      <c r="I3" t="str">
        <f t="shared" ref="I3:I47" si="2">INDEX(N:N,MATCH($A3,$L:$L,0))</f>
        <v>1.71-2.25</v>
      </c>
      <c r="J3">
        <f t="shared" ref="J3:J47" si="3">INDEX(O:O,MATCH($A3,$L:$L,0))</f>
        <v>0</v>
      </c>
      <c r="L3" t="s">
        <v>20</v>
      </c>
      <c r="M3">
        <v>3.21</v>
      </c>
      <c r="N3" t="s">
        <v>249</v>
      </c>
      <c r="O3">
        <v>0.36041000000000001</v>
      </c>
    </row>
    <row r="4" spans="1:15" x14ac:dyDescent="0.3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24</v>
      </c>
      <c r="G4" t="s">
        <v>25</v>
      </c>
      <c r="H4">
        <f t="shared" si="1"/>
        <v>3.21</v>
      </c>
      <c r="I4" t="str">
        <f t="shared" si="2"/>
        <v>0.27-38.65</v>
      </c>
      <c r="J4">
        <f t="shared" si="3"/>
        <v>0.36041000000000001</v>
      </c>
      <c r="L4" t="s">
        <v>31</v>
      </c>
      <c r="M4">
        <v>1.24</v>
      </c>
      <c r="N4" t="s">
        <v>250</v>
      </c>
      <c r="O4">
        <v>0</v>
      </c>
    </row>
    <row r="5" spans="1:15" x14ac:dyDescent="0.35">
      <c r="A5" t="s">
        <v>26</v>
      </c>
      <c r="B5" t="s">
        <v>27</v>
      </c>
      <c r="C5" t="s">
        <v>8</v>
      </c>
      <c r="D5" t="s">
        <v>28</v>
      </c>
      <c r="E5" t="s">
        <v>11</v>
      </c>
      <c r="F5" t="s">
        <v>29</v>
      </c>
      <c r="G5" t="s">
        <v>30</v>
      </c>
      <c r="H5">
        <f t="shared" si="1"/>
        <v>0.64</v>
      </c>
      <c r="I5" t="str">
        <f t="shared" si="2"/>
        <v>0.51-0.81</v>
      </c>
      <c r="J5">
        <f t="shared" si="3"/>
        <v>4.4999999999999999E-4</v>
      </c>
      <c r="L5" t="s">
        <v>7</v>
      </c>
      <c r="M5">
        <v>1.02</v>
      </c>
      <c r="N5" t="s">
        <v>221</v>
      </c>
      <c r="O5">
        <v>0</v>
      </c>
    </row>
    <row r="6" spans="1:15" x14ac:dyDescent="0.35">
      <c r="A6" t="s">
        <v>31</v>
      </c>
      <c r="B6" t="s">
        <v>32</v>
      </c>
      <c r="C6" t="s">
        <v>33</v>
      </c>
      <c r="D6" t="s">
        <v>34</v>
      </c>
      <c r="E6" t="s">
        <v>11</v>
      </c>
      <c r="F6" t="s">
        <v>35</v>
      </c>
      <c r="G6" t="s">
        <v>36</v>
      </c>
      <c r="H6">
        <f t="shared" si="1"/>
        <v>1.24</v>
      </c>
      <c r="I6" t="str">
        <f t="shared" si="2"/>
        <v>1.19-1.29</v>
      </c>
      <c r="J6">
        <f t="shared" si="3"/>
        <v>0</v>
      </c>
      <c r="L6" t="s">
        <v>26</v>
      </c>
      <c r="M6">
        <v>0.64</v>
      </c>
      <c r="N6" t="s">
        <v>222</v>
      </c>
      <c r="O6">
        <v>4.4999999999999999E-4</v>
      </c>
    </row>
    <row r="7" spans="1:15" x14ac:dyDescent="0.35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>
        <f t="shared" si="1"/>
        <v>1.91</v>
      </c>
      <c r="I7" t="str">
        <f t="shared" si="2"/>
        <v>0.5-7.24</v>
      </c>
      <c r="J7">
        <f t="shared" si="3"/>
        <v>0.34050999999999998</v>
      </c>
      <c r="L7" t="s">
        <v>37</v>
      </c>
      <c r="M7">
        <v>1.91</v>
      </c>
      <c r="N7" t="s">
        <v>223</v>
      </c>
      <c r="O7">
        <v>0.34050999999999998</v>
      </c>
    </row>
    <row r="8" spans="1:15" x14ac:dyDescent="0.35">
      <c r="A8" t="s">
        <v>44</v>
      </c>
      <c r="B8" t="s">
        <v>45</v>
      </c>
      <c r="C8" t="s">
        <v>9</v>
      </c>
      <c r="D8" t="s">
        <v>46</v>
      </c>
      <c r="E8" t="s">
        <v>11</v>
      </c>
      <c r="F8" t="s">
        <v>47</v>
      </c>
      <c r="G8" t="s">
        <v>48</v>
      </c>
      <c r="H8">
        <f t="shared" si="1"/>
        <v>0.98</v>
      </c>
      <c r="I8" t="str">
        <f t="shared" si="2"/>
        <v>0.86-1.13</v>
      </c>
      <c r="J8">
        <f t="shared" si="3"/>
        <v>0.82803000000000004</v>
      </c>
      <c r="L8" t="s">
        <v>44</v>
      </c>
      <c r="M8">
        <v>0.98</v>
      </c>
      <c r="N8" t="s">
        <v>224</v>
      </c>
      <c r="O8">
        <v>0.82803000000000004</v>
      </c>
    </row>
    <row r="9" spans="1:15" x14ac:dyDescent="0.35">
      <c r="A9" t="s">
        <v>49</v>
      </c>
      <c r="B9" t="s">
        <v>50</v>
      </c>
      <c r="C9" t="s">
        <v>51</v>
      </c>
      <c r="D9" t="s">
        <v>52</v>
      </c>
      <c r="E9" t="s">
        <v>11</v>
      </c>
      <c r="F9" t="s">
        <v>53</v>
      </c>
      <c r="G9" t="s">
        <v>54</v>
      </c>
      <c r="H9">
        <f t="shared" si="1"/>
        <v>0.77</v>
      </c>
      <c r="I9" t="str">
        <f t="shared" si="2"/>
        <v>0.18-3.22</v>
      </c>
      <c r="J9">
        <f t="shared" si="3"/>
        <v>0.72006000000000003</v>
      </c>
      <c r="L9" t="s">
        <v>49</v>
      </c>
      <c r="M9">
        <v>0.77</v>
      </c>
      <c r="N9" t="s">
        <v>225</v>
      </c>
      <c r="O9">
        <v>0.72006000000000003</v>
      </c>
    </row>
    <row r="10" spans="1:15" x14ac:dyDescent="0.35">
      <c r="A10" t="s">
        <v>55</v>
      </c>
      <c r="B10" t="s">
        <v>16</v>
      </c>
      <c r="C10" t="s">
        <v>9</v>
      </c>
      <c r="D10" t="s">
        <v>56</v>
      </c>
      <c r="E10" t="s">
        <v>11</v>
      </c>
      <c r="F10" t="s">
        <v>57</v>
      </c>
      <c r="G10" t="s">
        <v>58</v>
      </c>
      <c r="H10">
        <f t="shared" si="1"/>
        <v>1</v>
      </c>
      <c r="I10" t="str">
        <f t="shared" si="2"/>
        <v>0.87-1.15</v>
      </c>
      <c r="J10">
        <f t="shared" si="3"/>
        <v>0.96575999999999995</v>
      </c>
      <c r="L10" t="s">
        <v>55</v>
      </c>
      <c r="M10">
        <v>1</v>
      </c>
      <c r="N10" t="s">
        <v>226</v>
      </c>
      <c r="O10">
        <v>0.96575999999999995</v>
      </c>
    </row>
    <row r="11" spans="1:15" x14ac:dyDescent="0.35">
      <c r="A11" t="s">
        <v>59</v>
      </c>
      <c r="B11" t="s">
        <v>24</v>
      </c>
      <c r="C11" t="s">
        <v>33</v>
      </c>
      <c r="D11" t="s">
        <v>60</v>
      </c>
      <c r="E11" t="s">
        <v>11</v>
      </c>
      <c r="F11" t="s">
        <v>61</v>
      </c>
      <c r="G11" t="s">
        <v>62</v>
      </c>
      <c r="H11">
        <f t="shared" si="1"/>
        <v>0.93</v>
      </c>
      <c r="I11" t="str">
        <f t="shared" si="2"/>
        <v>0.79-1.09</v>
      </c>
      <c r="J11">
        <f t="shared" si="3"/>
        <v>0.36019000000000001</v>
      </c>
      <c r="L11" t="s">
        <v>59</v>
      </c>
      <c r="M11">
        <v>0.93</v>
      </c>
      <c r="N11" t="s">
        <v>227</v>
      </c>
      <c r="O11">
        <v>0.36019000000000001</v>
      </c>
    </row>
    <row r="12" spans="1:15" x14ac:dyDescent="0.35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69</v>
      </c>
      <c r="H12">
        <f t="shared" si="1"/>
        <v>0.52</v>
      </c>
      <c r="I12" t="str">
        <f t="shared" si="2"/>
        <v>0.14-1.93</v>
      </c>
      <c r="J12">
        <f t="shared" si="3"/>
        <v>0.33382000000000001</v>
      </c>
      <c r="L12" t="s">
        <v>63</v>
      </c>
      <c r="M12">
        <v>0.52</v>
      </c>
      <c r="N12" t="s">
        <v>228</v>
      </c>
      <c r="O12">
        <v>0.33382000000000001</v>
      </c>
    </row>
    <row r="13" spans="1:15" x14ac:dyDescent="0.35">
      <c r="A13" t="s">
        <v>70</v>
      </c>
      <c r="B13" t="s">
        <v>71</v>
      </c>
      <c r="C13" t="s">
        <v>33</v>
      </c>
      <c r="D13" t="s">
        <v>72</v>
      </c>
      <c r="E13" t="s">
        <v>11</v>
      </c>
      <c r="F13" t="s">
        <v>73</v>
      </c>
      <c r="G13" t="s">
        <v>74</v>
      </c>
      <c r="H13">
        <f t="shared" si="1"/>
        <v>0.98</v>
      </c>
      <c r="I13" t="str">
        <f t="shared" si="2"/>
        <v>0.86-1.13</v>
      </c>
      <c r="J13">
        <f t="shared" si="3"/>
        <v>0.82271000000000005</v>
      </c>
      <c r="L13" t="s">
        <v>70</v>
      </c>
      <c r="M13">
        <v>0.98</v>
      </c>
      <c r="N13" t="s">
        <v>224</v>
      </c>
      <c r="O13">
        <v>0.82271000000000005</v>
      </c>
    </row>
    <row r="14" spans="1:15" x14ac:dyDescent="0.35">
      <c r="A14" t="s">
        <v>75</v>
      </c>
      <c r="B14" t="s">
        <v>76</v>
      </c>
      <c r="C14" t="s">
        <v>33</v>
      </c>
      <c r="D14" t="s">
        <v>77</v>
      </c>
      <c r="E14" t="s">
        <v>11</v>
      </c>
      <c r="F14" t="s">
        <v>78</v>
      </c>
      <c r="G14" t="s">
        <v>79</v>
      </c>
      <c r="H14">
        <f t="shared" si="1"/>
        <v>0.5</v>
      </c>
      <c r="I14" t="str">
        <f t="shared" si="2"/>
        <v>0.13-1.89</v>
      </c>
      <c r="J14">
        <f t="shared" si="3"/>
        <v>0.31015999999999999</v>
      </c>
      <c r="L14" t="s">
        <v>75</v>
      </c>
      <c r="M14">
        <v>0.5</v>
      </c>
      <c r="N14" t="s">
        <v>229</v>
      </c>
      <c r="O14">
        <v>0.31015999999999999</v>
      </c>
    </row>
    <row r="15" spans="1:15" x14ac:dyDescent="0.35">
      <c r="A15" t="s">
        <v>80</v>
      </c>
      <c r="B15" t="s">
        <v>81</v>
      </c>
      <c r="C15" t="s">
        <v>82</v>
      </c>
      <c r="D15" t="s">
        <v>83</v>
      </c>
      <c r="E15" t="s">
        <v>11</v>
      </c>
      <c r="F15" t="s">
        <v>84</v>
      </c>
      <c r="G15" t="s">
        <v>85</v>
      </c>
      <c r="H15">
        <f t="shared" si="1"/>
        <v>1.3</v>
      </c>
      <c r="I15" t="str">
        <f t="shared" si="2"/>
        <v>0.28-6.12</v>
      </c>
      <c r="J15">
        <f t="shared" si="3"/>
        <v>0.73982999999999999</v>
      </c>
      <c r="L15" t="s">
        <v>80</v>
      </c>
      <c r="M15">
        <v>1.3</v>
      </c>
      <c r="N15" t="s">
        <v>230</v>
      </c>
      <c r="O15">
        <v>0.73982999999999999</v>
      </c>
    </row>
    <row r="16" spans="1:15" x14ac:dyDescent="0.35">
      <c r="A16" t="s">
        <v>86</v>
      </c>
      <c r="B16" t="s">
        <v>87</v>
      </c>
      <c r="C16" t="s">
        <v>88</v>
      </c>
      <c r="D16" t="s">
        <v>89</v>
      </c>
      <c r="E16" t="s">
        <v>11</v>
      </c>
      <c r="F16" t="s">
        <v>90</v>
      </c>
      <c r="G16" t="s">
        <v>91</v>
      </c>
      <c r="H16">
        <f t="shared" si="1"/>
        <v>0.84</v>
      </c>
      <c r="I16" t="str">
        <f t="shared" si="2"/>
        <v>0.19-3.67</v>
      </c>
      <c r="J16">
        <f t="shared" si="3"/>
        <v>0.82062000000000002</v>
      </c>
      <c r="L16" t="s">
        <v>86</v>
      </c>
      <c r="M16">
        <v>0.84</v>
      </c>
      <c r="N16" t="s">
        <v>231</v>
      </c>
      <c r="O16">
        <v>0.82062000000000002</v>
      </c>
    </row>
    <row r="17" spans="1:15" x14ac:dyDescent="0.35">
      <c r="A17" t="s">
        <v>92</v>
      </c>
      <c r="B17" t="s">
        <v>93</v>
      </c>
      <c r="C17" t="s">
        <v>8</v>
      </c>
      <c r="D17" t="s">
        <v>94</v>
      </c>
      <c r="E17" t="s">
        <v>11</v>
      </c>
      <c r="F17" t="s">
        <v>95</v>
      </c>
      <c r="G17" t="s">
        <v>96</v>
      </c>
      <c r="H17">
        <f t="shared" si="1"/>
        <v>0.49</v>
      </c>
      <c r="I17" t="str">
        <f t="shared" si="2"/>
        <v>0.36-0.67</v>
      </c>
      <c r="J17">
        <f t="shared" si="3"/>
        <v>1.0000000000000001E-5</v>
      </c>
      <c r="L17" t="s">
        <v>92</v>
      </c>
      <c r="M17">
        <v>0.49</v>
      </c>
      <c r="N17" t="s">
        <v>232</v>
      </c>
      <c r="O17">
        <v>1.0000000000000001E-5</v>
      </c>
    </row>
    <row r="18" spans="1:15" x14ac:dyDescent="0.35">
      <c r="A18" t="s">
        <v>97</v>
      </c>
      <c r="B18" t="s">
        <v>98</v>
      </c>
      <c r="C18" t="s">
        <v>39</v>
      </c>
      <c r="D18" t="s">
        <v>99</v>
      </c>
      <c r="E18" t="s">
        <v>11</v>
      </c>
      <c r="F18" t="s">
        <v>100</v>
      </c>
      <c r="G18" t="s">
        <v>101</v>
      </c>
      <c r="H18">
        <f t="shared" si="1"/>
        <v>1.0900000000000001</v>
      </c>
      <c r="I18" t="str">
        <f t="shared" si="2"/>
        <v>0.8-1.5</v>
      </c>
      <c r="J18">
        <f t="shared" si="3"/>
        <v>0.57504999999999995</v>
      </c>
      <c r="L18" t="s">
        <v>97</v>
      </c>
      <c r="M18">
        <v>1.0900000000000001</v>
      </c>
      <c r="N18" t="s">
        <v>233</v>
      </c>
      <c r="O18">
        <v>0.57504999999999995</v>
      </c>
    </row>
    <row r="19" spans="1:15" x14ac:dyDescent="0.35">
      <c r="A19" t="s">
        <v>102</v>
      </c>
      <c r="B19" t="s">
        <v>103</v>
      </c>
      <c r="C19" t="s">
        <v>33</v>
      </c>
      <c r="D19" t="s">
        <v>104</v>
      </c>
      <c r="E19" t="s">
        <v>11</v>
      </c>
      <c r="F19" t="s">
        <v>105</v>
      </c>
      <c r="G19" t="s">
        <v>106</v>
      </c>
      <c r="H19">
        <f t="shared" si="1"/>
        <v>1.04</v>
      </c>
      <c r="I19" t="str">
        <f t="shared" si="2"/>
        <v>0.93-1.17</v>
      </c>
      <c r="J19">
        <f t="shared" si="3"/>
        <v>0.49157000000000001</v>
      </c>
      <c r="L19" t="s">
        <v>102</v>
      </c>
      <c r="M19">
        <v>1.04</v>
      </c>
      <c r="N19" t="s">
        <v>234</v>
      </c>
      <c r="O19">
        <v>0.49157000000000001</v>
      </c>
    </row>
    <row r="20" spans="1:15" x14ac:dyDescent="0.35">
      <c r="A20" t="s">
        <v>107</v>
      </c>
      <c r="B20" t="s">
        <v>108</v>
      </c>
      <c r="C20" t="s">
        <v>9</v>
      </c>
      <c r="D20" t="s">
        <v>109</v>
      </c>
      <c r="E20" t="s">
        <v>11</v>
      </c>
      <c r="F20" t="s">
        <v>110</v>
      </c>
      <c r="G20" t="s">
        <v>111</v>
      </c>
      <c r="H20">
        <f t="shared" si="1"/>
        <v>1</v>
      </c>
      <c r="I20" t="str">
        <f t="shared" si="2"/>
        <v>1-1</v>
      </c>
      <c r="J20">
        <f t="shared" si="3"/>
        <v>8.8999999999999995E-4</v>
      </c>
      <c r="L20" t="s">
        <v>107</v>
      </c>
      <c r="M20">
        <v>1</v>
      </c>
      <c r="N20" t="s">
        <v>235</v>
      </c>
      <c r="O20">
        <v>8.8999999999999995E-4</v>
      </c>
    </row>
    <row r="21" spans="1:15" x14ac:dyDescent="0.35">
      <c r="A21" t="s">
        <v>112</v>
      </c>
      <c r="B21" t="s">
        <v>113</v>
      </c>
      <c r="C21" t="s">
        <v>16</v>
      </c>
      <c r="D21" t="s">
        <v>114</v>
      </c>
      <c r="E21" t="s">
        <v>115</v>
      </c>
      <c r="F21" t="s">
        <v>116</v>
      </c>
      <c r="G21" t="s">
        <v>117</v>
      </c>
      <c r="H21">
        <f t="shared" si="1"/>
        <v>0.99</v>
      </c>
      <c r="I21" t="str">
        <f t="shared" si="2"/>
        <v>0.88-1.12</v>
      </c>
      <c r="J21">
        <f t="shared" si="3"/>
        <v>0.89746000000000004</v>
      </c>
      <c r="L21" t="s">
        <v>112</v>
      </c>
      <c r="M21">
        <v>0.99</v>
      </c>
      <c r="N21" t="s">
        <v>236</v>
      </c>
      <c r="O21">
        <v>0.89746000000000004</v>
      </c>
    </row>
    <row r="22" spans="1:15" x14ac:dyDescent="0.35">
      <c r="A22" t="s">
        <v>118</v>
      </c>
      <c r="B22" t="s">
        <v>119</v>
      </c>
      <c r="C22" t="s">
        <v>9</v>
      </c>
      <c r="D22" t="s">
        <v>120</v>
      </c>
      <c r="E22" t="s">
        <v>11</v>
      </c>
      <c r="F22" t="s">
        <v>121</v>
      </c>
      <c r="G22" t="s">
        <v>122</v>
      </c>
      <c r="H22">
        <f t="shared" si="1"/>
        <v>1.02</v>
      </c>
      <c r="I22" t="str">
        <f t="shared" si="2"/>
        <v>1.02-1.02</v>
      </c>
      <c r="J22">
        <f t="shared" si="3"/>
        <v>1.0000000000000001E-5</v>
      </c>
      <c r="L22" t="s">
        <v>118</v>
      </c>
      <c r="M22">
        <v>1.02</v>
      </c>
      <c r="N22" t="s">
        <v>221</v>
      </c>
      <c r="O22">
        <v>1.0000000000000001E-5</v>
      </c>
    </row>
    <row r="23" spans="1:15" x14ac:dyDescent="0.35">
      <c r="A23" t="s">
        <v>123</v>
      </c>
      <c r="B23" t="s">
        <v>124</v>
      </c>
      <c r="C23" t="s">
        <v>65</v>
      </c>
      <c r="D23" t="s">
        <v>125</v>
      </c>
      <c r="E23" t="s">
        <v>11</v>
      </c>
      <c r="F23" t="s">
        <v>126</v>
      </c>
      <c r="G23" t="s">
        <v>127</v>
      </c>
      <c r="H23">
        <f t="shared" si="1"/>
        <v>0.84</v>
      </c>
      <c r="I23" t="str">
        <f t="shared" si="2"/>
        <v>0.68-1.05</v>
      </c>
      <c r="J23">
        <f t="shared" si="3"/>
        <v>0.11433</v>
      </c>
      <c r="L23" t="s">
        <v>123</v>
      </c>
      <c r="M23">
        <v>0.84</v>
      </c>
      <c r="N23" t="s">
        <v>237</v>
      </c>
      <c r="O23">
        <v>0.11433</v>
      </c>
    </row>
    <row r="24" spans="1:15" x14ac:dyDescent="0.35">
      <c r="A24" t="s">
        <v>128</v>
      </c>
      <c r="B24" t="s">
        <v>108</v>
      </c>
      <c r="C24" t="s">
        <v>9</v>
      </c>
      <c r="D24" t="s">
        <v>129</v>
      </c>
      <c r="E24" t="s">
        <v>11</v>
      </c>
      <c r="F24" t="s">
        <v>110</v>
      </c>
      <c r="G24" t="s">
        <v>130</v>
      </c>
      <c r="H24">
        <f t="shared" si="1"/>
        <v>1</v>
      </c>
      <c r="I24" t="str">
        <f t="shared" si="2"/>
        <v>1-1</v>
      </c>
      <c r="J24">
        <f t="shared" si="3"/>
        <v>4.9399999999999999E-3</v>
      </c>
      <c r="L24" t="s">
        <v>128</v>
      </c>
      <c r="M24">
        <v>1</v>
      </c>
      <c r="N24" t="s">
        <v>235</v>
      </c>
      <c r="O24">
        <v>4.9399999999999999E-3</v>
      </c>
    </row>
    <row r="25" spans="1:15" x14ac:dyDescent="0.35">
      <c r="A25" t="s">
        <v>131</v>
      </c>
      <c r="B25" t="s">
        <v>8</v>
      </c>
      <c r="C25" t="s">
        <v>33</v>
      </c>
      <c r="D25" t="s">
        <v>132</v>
      </c>
      <c r="E25" t="s">
        <v>11</v>
      </c>
      <c r="F25" t="s">
        <v>133</v>
      </c>
      <c r="G25" t="s">
        <v>134</v>
      </c>
      <c r="H25">
        <f t="shared" si="1"/>
        <v>1.01</v>
      </c>
      <c r="I25" t="str">
        <f t="shared" si="2"/>
        <v>0.99-1.03</v>
      </c>
      <c r="J25">
        <f t="shared" si="3"/>
        <v>0.47188999999999998</v>
      </c>
      <c r="L25" t="s">
        <v>131</v>
      </c>
      <c r="M25">
        <v>1.01</v>
      </c>
      <c r="N25" t="s">
        <v>238</v>
      </c>
      <c r="O25">
        <v>0.47188999999999998</v>
      </c>
    </row>
    <row r="26" spans="1:15" x14ac:dyDescent="0.35">
      <c r="A26" t="s">
        <v>135</v>
      </c>
      <c r="B26" t="s">
        <v>9</v>
      </c>
      <c r="C26" t="s">
        <v>9</v>
      </c>
      <c r="D26" t="s">
        <v>136</v>
      </c>
      <c r="E26" t="s">
        <v>11</v>
      </c>
      <c r="F26" t="s">
        <v>137</v>
      </c>
      <c r="G26" t="s">
        <v>138</v>
      </c>
      <c r="H26">
        <f t="shared" si="1"/>
        <v>1</v>
      </c>
      <c r="I26" t="str">
        <f t="shared" si="2"/>
        <v>1-1</v>
      </c>
      <c r="J26">
        <f t="shared" si="3"/>
        <v>1.0000000000000001E-5</v>
      </c>
      <c r="L26" t="s">
        <v>135</v>
      </c>
      <c r="M26">
        <v>1</v>
      </c>
      <c r="N26" t="s">
        <v>235</v>
      </c>
      <c r="O26">
        <v>1.0000000000000001E-5</v>
      </c>
    </row>
    <row r="27" spans="1:15" x14ac:dyDescent="0.35">
      <c r="A27" t="s">
        <v>139</v>
      </c>
      <c r="B27" t="s">
        <v>33</v>
      </c>
      <c r="C27" t="s">
        <v>9</v>
      </c>
      <c r="D27" t="s">
        <v>140</v>
      </c>
      <c r="E27" t="s">
        <v>11</v>
      </c>
      <c r="F27" t="s">
        <v>141</v>
      </c>
      <c r="G27" t="s">
        <v>142</v>
      </c>
      <c r="H27">
        <f t="shared" si="1"/>
        <v>1</v>
      </c>
      <c r="I27" t="str">
        <f t="shared" si="2"/>
        <v>1-1</v>
      </c>
      <c r="J27">
        <f t="shared" si="3"/>
        <v>2.0000000000000001E-4</v>
      </c>
      <c r="L27" t="s">
        <v>139</v>
      </c>
      <c r="M27">
        <v>1</v>
      </c>
      <c r="N27" t="s">
        <v>235</v>
      </c>
      <c r="O27">
        <v>2.0000000000000001E-4</v>
      </c>
    </row>
    <row r="28" spans="1:15" x14ac:dyDescent="0.35">
      <c r="A28" t="s">
        <v>143</v>
      </c>
      <c r="B28" t="s">
        <v>108</v>
      </c>
      <c r="C28" t="s">
        <v>9</v>
      </c>
      <c r="D28" t="s">
        <v>144</v>
      </c>
      <c r="E28" t="s">
        <v>11</v>
      </c>
      <c r="F28" t="s">
        <v>110</v>
      </c>
      <c r="G28" t="s">
        <v>130</v>
      </c>
      <c r="H28">
        <f t="shared" si="1"/>
        <v>1</v>
      </c>
      <c r="I28" t="str">
        <f t="shared" si="2"/>
        <v>1-1</v>
      </c>
      <c r="J28">
        <f t="shared" si="3"/>
        <v>2.3290000000000002E-2</v>
      </c>
      <c r="L28" t="s">
        <v>143</v>
      </c>
      <c r="M28">
        <v>1</v>
      </c>
      <c r="N28" t="s">
        <v>235</v>
      </c>
      <c r="O28">
        <v>2.3290000000000002E-2</v>
      </c>
    </row>
    <row r="29" spans="1:15" x14ac:dyDescent="0.35">
      <c r="A29" t="s">
        <v>145</v>
      </c>
      <c r="B29" t="s">
        <v>146</v>
      </c>
      <c r="C29" t="s">
        <v>24</v>
      </c>
      <c r="D29" t="s">
        <v>147</v>
      </c>
      <c r="E29" t="s">
        <v>11</v>
      </c>
      <c r="F29" t="s">
        <v>148</v>
      </c>
      <c r="G29" t="s">
        <v>149</v>
      </c>
      <c r="H29">
        <f t="shared" si="1"/>
        <v>1.2</v>
      </c>
      <c r="I29" t="str">
        <f t="shared" si="2"/>
        <v>1.04-1.37</v>
      </c>
      <c r="J29">
        <f t="shared" si="3"/>
        <v>1.389E-2</v>
      </c>
      <c r="L29" t="s">
        <v>145</v>
      </c>
      <c r="M29">
        <v>1.2</v>
      </c>
      <c r="N29" t="s">
        <v>239</v>
      </c>
      <c r="O29">
        <v>1.389E-2</v>
      </c>
    </row>
    <row r="30" spans="1:15" x14ac:dyDescent="0.35">
      <c r="A30" t="s">
        <v>150</v>
      </c>
      <c r="B30" t="s">
        <v>9</v>
      </c>
      <c r="C30" t="s">
        <v>9</v>
      </c>
      <c r="D30" t="s">
        <v>72</v>
      </c>
      <c r="E30" t="s">
        <v>11</v>
      </c>
      <c r="F30" t="s">
        <v>137</v>
      </c>
      <c r="G30" t="s">
        <v>138</v>
      </c>
      <c r="H30">
        <f t="shared" si="1"/>
        <v>1</v>
      </c>
      <c r="I30" t="str">
        <f t="shared" si="2"/>
        <v>1-1</v>
      </c>
      <c r="J30">
        <f t="shared" si="3"/>
        <v>0.56583000000000006</v>
      </c>
      <c r="L30" t="s">
        <v>150</v>
      </c>
      <c r="M30">
        <v>1</v>
      </c>
      <c r="N30" t="s">
        <v>235</v>
      </c>
      <c r="O30">
        <v>0.56583000000000006</v>
      </c>
    </row>
    <row r="31" spans="1:15" x14ac:dyDescent="0.35">
      <c r="A31" t="s">
        <v>151</v>
      </c>
      <c r="B31" t="s">
        <v>95</v>
      </c>
      <c r="C31" t="s">
        <v>39</v>
      </c>
      <c r="D31" t="s">
        <v>152</v>
      </c>
      <c r="E31" t="s">
        <v>11</v>
      </c>
      <c r="F31" t="s">
        <v>153</v>
      </c>
      <c r="G31" t="s">
        <v>154</v>
      </c>
      <c r="H31">
        <f t="shared" si="1"/>
        <v>1.23</v>
      </c>
      <c r="I31" t="str">
        <f t="shared" si="2"/>
        <v>1.16-1.31</v>
      </c>
      <c r="J31">
        <f t="shared" si="3"/>
        <v>0</v>
      </c>
      <c r="L31" t="s">
        <v>151</v>
      </c>
      <c r="M31">
        <v>1.23</v>
      </c>
      <c r="N31" t="s">
        <v>240</v>
      </c>
      <c r="O31">
        <v>0</v>
      </c>
    </row>
    <row r="32" spans="1:15" x14ac:dyDescent="0.35">
      <c r="A32" t="s">
        <v>155</v>
      </c>
      <c r="B32" t="s">
        <v>156</v>
      </c>
      <c r="C32" t="s">
        <v>33</v>
      </c>
      <c r="D32" t="s">
        <v>157</v>
      </c>
      <c r="E32" t="s">
        <v>11</v>
      </c>
      <c r="F32" t="s">
        <v>158</v>
      </c>
      <c r="G32" t="s">
        <v>159</v>
      </c>
      <c r="H32">
        <f t="shared" si="1"/>
        <v>0.95</v>
      </c>
      <c r="I32" t="str">
        <f t="shared" si="2"/>
        <v>0.93-0.97</v>
      </c>
      <c r="J32">
        <f t="shared" si="3"/>
        <v>3.0000000000000001E-5</v>
      </c>
      <c r="L32" t="s">
        <v>155</v>
      </c>
      <c r="M32">
        <v>0.95</v>
      </c>
      <c r="N32" t="s">
        <v>241</v>
      </c>
      <c r="O32">
        <v>3.0000000000000001E-5</v>
      </c>
    </row>
    <row r="33" spans="1:15" x14ac:dyDescent="0.35">
      <c r="A33" t="s">
        <v>160</v>
      </c>
      <c r="B33" t="s">
        <v>161</v>
      </c>
      <c r="C33" t="s">
        <v>24</v>
      </c>
      <c r="D33" t="s">
        <v>162</v>
      </c>
      <c r="E33" t="s">
        <v>11</v>
      </c>
      <c r="F33" t="s">
        <v>163</v>
      </c>
      <c r="G33" t="s">
        <v>164</v>
      </c>
      <c r="H33" t="e">
        <f t="shared" si="1"/>
        <v>#N/A</v>
      </c>
      <c r="I33" t="e">
        <f t="shared" si="2"/>
        <v>#N/A</v>
      </c>
      <c r="J33" t="e">
        <f t="shared" si="3"/>
        <v>#N/A</v>
      </c>
      <c r="L33" t="s">
        <v>242</v>
      </c>
      <c r="M33">
        <v>0.78</v>
      </c>
      <c r="N33" t="s">
        <v>243</v>
      </c>
      <c r="O33">
        <v>4.64E-3</v>
      </c>
    </row>
    <row r="34" spans="1:15" x14ac:dyDescent="0.35">
      <c r="A34" t="s">
        <v>165</v>
      </c>
      <c r="B34" t="s">
        <v>9</v>
      </c>
      <c r="C34" t="s">
        <v>9</v>
      </c>
      <c r="D34" t="s">
        <v>166</v>
      </c>
      <c r="E34" t="s">
        <v>167</v>
      </c>
      <c r="F34" t="s">
        <v>137</v>
      </c>
      <c r="G34" t="s">
        <v>138</v>
      </c>
      <c r="H34" t="e">
        <f t="shared" si="1"/>
        <v>#N/A</v>
      </c>
      <c r="I34" t="e">
        <f t="shared" si="2"/>
        <v>#N/A</v>
      </c>
      <c r="J34" t="e">
        <f t="shared" si="3"/>
        <v>#N/A</v>
      </c>
      <c r="L34" t="s">
        <v>197</v>
      </c>
      <c r="M34">
        <v>4.67</v>
      </c>
      <c r="N34" t="s">
        <v>244</v>
      </c>
      <c r="O34">
        <v>0</v>
      </c>
    </row>
    <row r="35" spans="1:15" x14ac:dyDescent="0.35">
      <c r="A35" t="s">
        <v>168</v>
      </c>
      <c r="B35" t="s">
        <v>169</v>
      </c>
      <c r="C35" t="s">
        <v>169</v>
      </c>
      <c r="D35" t="s">
        <v>169</v>
      </c>
      <c r="E35" t="s">
        <v>169</v>
      </c>
      <c r="F35" t="s">
        <v>169</v>
      </c>
      <c r="G35" t="s">
        <v>169</v>
      </c>
      <c r="H35" t="e">
        <f t="shared" si="1"/>
        <v>#N/A</v>
      </c>
      <c r="I35" t="e">
        <f t="shared" si="2"/>
        <v>#N/A</v>
      </c>
      <c r="J35" t="e">
        <f t="shared" si="3"/>
        <v>#N/A</v>
      </c>
      <c r="L35" t="s">
        <v>202</v>
      </c>
      <c r="M35">
        <v>2</v>
      </c>
      <c r="N35" t="s">
        <v>245</v>
      </c>
      <c r="O35">
        <v>0</v>
      </c>
    </row>
    <row r="36" spans="1:15" x14ac:dyDescent="0.35">
      <c r="A36" t="s">
        <v>170</v>
      </c>
      <c r="B36" t="s">
        <v>171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e">
        <f t="shared" si="1"/>
        <v>#N/A</v>
      </c>
      <c r="I36" t="e">
        <f t="shared" si="2"/>
        <v>#N/A</v>
      </c>
      <c r="J36" t="e">
        <f t="shared" si="3"/>
        <v>#N/A</v>
      </c>
      <c r="L36" t="s">
        <v>207</v>
      </c>
      <c r="M36">
        <v>3.41</v>
      </c>
      <c r="N36" t="s">
        <v>246</v>
      </c>
      <c r="O36">
        <v>0</v>
      </c>
    </row>
    <row r="37" spans="1:15" x14ac:dyDescent="0.35">
      <c r="A37" t="s">
        <v>172</v>
      </c>
      <c r="B37" t="s">
        <v>173</v>
      </c>
      <c r="C37" t="s">
        <v>24</v>
      </c>
      <c r="D37" t="s">
        <v>174</v>
      </c>
      <c r="E37" t="s">
        <v>67</v>
      </c>
      <c r="F37" t="s">
        <v>175</v>
      </c>
      <c r="G37" t="s">
        <v>176</v>
      </c>
      <c r="H37" t="e">
        <f t="shared" si="1"/>
        <v>#N/A</v>
      </c>
      <c r="I37" t="e">
        <f t="shared" si="2"/>
        <v>#N/A</v>
      </c>
      <c r="J37" t="e">
        <f t="shared" si="3"/>
        <v>#N/A</v>
      </c>
      <c r="L37" t="s">
        <v>212</v>
      </c>
      <c r="M37">
        <v>1.71</v>
      </c>
      <c r="N37" t="s">
        <v>247</v>
      </c>
      <c r="O37">
        <v>0</v>
      </c>
    </row>
    <row r="38" spans="1:15" x14ac:dyDescent="0.35">
      <c r="A38" t="s">
        <v>177</v>
      </c>
      <c r="B38" t="s">
        <v>169</v>
      </c>
      <c r="C38" t="s">
        <v>169</v>
      </c>
      <c r="D38" t="s">
        <v>169</v>
      </c>
      <c r="E38" t="s">
        <v>169</v>
      </c>
      <c r="F38" t="s">
        <v>169</v>
      </c>
      <c r="G38" t="s">
        <v>169</v>
      </c>
      <c r="H38" t="e">
        <f t="shared" si="1"/>
        <v>#N/A</v>
      </c>
      <c r="I38" t="e">
        <f t="shared" si="2"/>
        <v>#N/A</v>
      </c>
      <c r="J38" t="e">
        <f t="shared" si="3"/>
        <v>#N/A</v>
      </c>
    </row>
    <row r="39" spans="1:15" x14ac:dyDescent="0.35">
      <c r="A39" t="s">
        <v>178</v>
      </c>
      <c r="B39" t="s">
        <v>171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e">
        <f t="shared" si="1"/>
        <v>#N/A</v>
      </c>
      <c r="I39" t="e">
        <f t="shared" si="2"/>
        <v>#N/A</v>
      </c>
      <c r="J39" t="e">
        <f t="shared" si="3"/>
        <v>#N/A</v>
      </c>
    </row>
    <row r="40" spans="1:15" x14ac:dyDescent="0.35">
      <c r="A40" t="s">
        <v>179</v>
      </c>
      <c r="B40" t="s">
        <v>57</v>
      </c>
      <c r="C40" t="s">
        <v>180</v>
      </c>
      <c r="D40" t="s">
        <v>181</v>
      </c>
      <c r="E40" t="s">
        <v>11</v>
      </c>
      <c r="F40" t="s">
        <v>182</v>
      </c>
      <c r="G40" t="s">
        <v>183</v>
      </c>
      <c r="H40" t="e">
        <f t="shared" si="1"/>
        <v>#N/A</v>
      </c>
      <c r="I40" t="e">
        <f t="shared" si="2"/>
        <v>#N/A</v>
      </c>
      <c r="J40" t="e">
        <f t="shared" si="3"/>
        <v>#N/A</v>
      </c>
    </row>
    <row r="41" spans="1:15" x14ac:dyDescent="0.35">
      <c r="A41" t="s">
        <v>184</v>
      </c>
      <c r="B41" t="s">
        <v>185</v>
      </c>
      <c r="C41" t="s">
        <v>76</v>
      </c>
      <c r="D41" t="s">
        <v>186</v>
      </c>
      <c r="E41" t="s">
        <v>11</v>
      </c>
      <c r="F41" t="s">
        <v>187</v>
      </c>
      <c r="G41" t="s">
        <v>188</v>
      </c>
      <c r="H41" t="e">
        <f t="shared" si="1"/>
        <v>#N/A</v>
      </c>
      <c r="I41" t="e">
        <f t="shared" si="2"/>
        <v>#N/A</v>
      </c>
      <c r="J41" t="e">
        <f t="shared" si="3"/>
        <v>#N/A</v>
      </c>
    </row>
    <row r="42" spans="1:15" x14ac:dyDescent="0.35">
      <c r="A42" t="s">
        <v>189</v>
      </c>
      <c r="B42" t="s">
        <v>161</v>
      </c>
      <c r="C42" t="s">
        <v>51</v>
      </c>
      <c r="D42" t="s">
        <v>190</v>
      </c>
      <c r="E42" t="s">
        <v>191</v>
      </c>
      <c r="F42" t="s">
        <v>163</v>
      </c>
      <c r="G42" t="s">
        <v>192</v>
      </c>
      <c r="H42" t="e">
        <f t="shared" si="1"/>
        <v>#N/A</v>
      </c>
      <c r="I42" t="e">
        <f t="shared" si="2"/>
        <v>#N/A</v>
      </c>
      <c r="J42" t="e">
        <f t="shared" si="3"/>
        <v>#N/A</v>
      </c>
    </row>
    <row r="43" spans="1:15" x14ac:dyDescent="0.35">
      <c r="A43" t="s">
        <v>193</v>
      </c>
      <c r="B43" t="s">
        <v>22</v>
      </c>
      <c r="C43" t="s">
        <v>173</v>
      </c>
      <c r="D43" t="s">
        <v>194</v>
      </c>
      <c r="E43" t="s">
        <v>38</v>
      </c>
      <c r="F43" t="s">
        <v>195</v>
      </c>
      <c r="G43" t="s">
        <v>196</v>
      </c>
      <c r="H43" t="e">
        <f t="shared" si="1"/>
        <v>#N/A</v>
      </c>
      <c r="I43" t="e">
        <f t="shared" si="2"/>
        <v>#N/A</v>
      </c>
      <c r="J43" t="e">
        <f t="shared" si="3"/>
        <v>#N/A</v>
      </c>
    </row>
    <row r="44" spans="1:15" x14ac:dyDescent="0.35">
      <c r="A44" t="s">
        <v>197</v>
      </c>
      <c r="B44" t="s">
        <v>198</v>
      </c>
      <c r="C44" t="s">
        <v>8</v>
      </c>
      <c r="D44" t="s">
        <v>199</v>
      </c>
      <c r="E44" t="s">
        <v>11</v>
      </c>
      <c r="F44" t="s">
        <v>200</v>
      </c>
      <c r="G44" t="s">
        <v>201</v>
      </c>
      <c r="H44">
        <f t="shared" si="1"/>
        <v>4.67</v>
      </c>
      <c r="I44" t="str">
        <f t="shared" si="2"/>
        <v>3.69-5.91</v>
      </c>
      <c r="J44">
        <f t="shared" si="3"/>
        <v>0</v>
      </c>
    </row>
    <row r="45" spans="1:15" x14ac:dyDescent="0.35">
      <c r="A45" t="s">
        <v>202</v>
      </c>
      <c r="B45" t="s">
        <v>203</v>
      </c>
      <c r="C45" t="s">
        <v>71</v>
      </c>
      <c r="D45" t="s">
        <v>204</v>
      </c>
      <c r="E45" t="s">
        <v>11</v>
      </c>
      <c r="F45" t="s">
        <v>205</v>
      </c>
      <c r="G45" t="s">
        <v>206</v>
      </c>
      <c r="H45">
        <f t="shared" si="1"/>
        <v>2</v>
      </c>
      <c r="I45" t="str">
        <f t="shared" si="2"/>
        <v>1.61-2.48</v>
      </c>
      <c r="J45">
        <f t="shared" si="3"/>
        <v>0</v>
      </c>
    </row>
    <row r="46" spans="1:15" x14ac:dyDescent="0.35">
      <c r="A46" t="s">
        <v>207</v>
      </c>
      <c r="B46" t="s">
        <v>208</v>
      </c>
      <c r="C46" t="s">
        <v>8</v>
      </c>
      <c r="D46" t="s">
        <v>209</v>
      </c>
      <c r="E46" t="s">
        <v>11</v>
      </c>
      <c r="F46" t="s">
        <v>210</v>
      </c>
      <c r="G46" t="s">
        <v>211</v>
      </c>
      <c r="H46">
        <f t="shared" si="1"/>
        <v>3.41</v>
      </c>
      <c r="I46" t="str">
        <f t="shared" si="2"/>
        <v>2.8-4.15</v>
      </c>
      <c r="J46">
        <f t="shared" si="3"/>
        <v>0</v>
      </c>
    </row>
    <row r="47" spans="1:15" x14ac:dyDescent="0.35">
      <c r="A47" t="s">
        <v>212</v>
      </c>
      <c r="B47" t="s">
        <v>213</v>
      </c>
      <c r="C47" t="s">
        <v>71</v>
      </c>
      <c r="D47" t="s">
        <v>214</v>
      </c>
      <c r="E47" t="s">
        <v>11</v>
      </c>
      <c r="F47" t="s">
        <v>215</v>
      </c>
      <c r="G47" t="s">
        <v>216</v>
      </c>
      <c r="H47">
        <f t="shared" si="1"/>
        <v>1.71</v>
      </c>
      <c r="I47" t="str">
        <f t="shared" si="2"/>
        <v>1.41-2.09</v>
      </c>
      <c r="J47">
        <f t="shared" si="3"/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selection activeCell="C25" sqref="A1:D35"/>
    </sheetView>
  </sheetViews>
  <sheetFormatPr defaultColWidth="10.90625" defaultRowHeight="14.5" x14ac:dyDescent="0.35"/>
  <sheetData>
    <row r="1" spans="1:4" x14ac:dyDescent="0.35">
      <c r="A1" t="s">
        <v>217</v>
      </c>
      <c r="B1" t="s">
        <v>5</v>
      </c>
      <c r="C1" t="s">
        <v>218</v>
      </c>
      <c r="D1" t="s">
        <v>219</v>
      </c>
    </row>
    <row r="2" spans="1:4" x14ac:dyDescent="0.35">
      <c r="A2" t="s">
        <v>14</v>
      </c>
      <c r="B2">
        <v>1.96</v>
      </c>
      <c r="C2" t="s">
        <v>220</v>
      </c>
      <c r="D2">
        <v>0</v>
      </c>
    </row>
    <row r="3" spans="1:4" x14ac:dyDescent="0.35">
      <c r="A3" t="s">
        <v>7</v>
      </c>
      <c r="B3">
        <v>1.02</v>
      </c>
      <c r="C3" t="s">
        <v>221</v>
      </c>
      <c r="D3">
        <v>0</v>
      </c>
    </row>
    <row r="4" spans="1:4" x14ac:dyDescent="0.35">
      <c r="A4" t="s">
        <v>26</v>
      </c>
      <c r="B4">
        <v>0.64</v>
      </c>
      <c r="C4" t="s">
        <v>222</v>
      </c>
      <c r="D4">
        <v>4.4999999999999999E-4</v>
      </c>
    </row>
    <row r="5" spans="1:4" x14ac:dyDescent="0.35">
      <c r="A5" t="s">
        <v>37</v>
      </c>
      <c r="B5">
        <v>1.91</v>
      </c>
      <c r="C5" t="s">
        <v>223</v>
      </c>
      <c r="D5">
        <v>0.34050999999999998</v>
      </c>
    </row>
    <row r="6" spans="1:4" x14ac:dyDescent="0.35">
      <c r="A6" t="s">
        <v>44</v>
      </c>
      <c r="B6">
        <v>0.98</v>
      </c>
      <c r="C6" t="s">
        <v>224</v>
      </c>
      <c r="D6">
        <v>0.82803000000000004</v>
      </c>
    </row>
    <row r="7" spans="1:4" x14ac:dyDescent="0.35">
      <c r="A7" t="s">
        <v>49</v>
      </c>
      <c r="B7">
        <v>0.77</v>
      </c>
      <c r="C7" t="s">
        <v>225</v>
      </c>
      <c r="D7">
        <v>0.72006000000000003</v>
      </c>
    </row>
    <row r="8" spans="1:4" x14ac:dyDescent="0.35">
      <c r="A8" t="s">
        <v>55</v>
      </c>
      <c r="B8">
        <v>1</v>
      </c>
      <c r="C8" t="s">
        <v>226</v>
      </c>
      <c r="D8">
        <v>0.96575999999999995</v>
      </c>
    </row>
    <row r="9" spans="1:4" x14ac:dyDescent="0.35">
      <c r="A9" t="s">
        <v>59</v>
      </c>
      <c r="B9">
        <v>0.93</v>
      </c>
      <c r="C9" t="s">
        <v>227</v>
      </c>
      <c r="D9">
        <v>0.36019000000000001</v>
      </c>
    </row>
    <row r="10" spans="1:4" x14ac:dyDescent="0.35">
      <c r="A10" t="s">
        <v>63</v>
      </c>
      <c r="B10">
        <v>0.52</v>
      </c>
      <c r="C10" t="s">
        <v>228</v>
      </c>
      <c r="D10">
        <v>0.33382000000000001</v>
      </c>
    </row>
    <row r="11" spans="1:4" x14ac:dyDescent="0.35">
      <c r="A11" t="s">
        <v>70</v>
      </c>
      <c r="B11">
        <v>0.98</v>
      </c>
      <c r="C11" t="s">
        <v>224</v>
      </c>
      <c r="D11">
        <v>0.82271000000000005</v>
      </c>
    </row>
    <row r="12" spans="1:4" x14ac:dyDescent="0.35">
      <c r="A12" t="s">
        <v>75</v>
      </c>
      <c r="B12">
        <v>0.5</v>
      </c>
      <c r="C12" t="s">
        <v>229</v>
      </c>
      <c r="D12">
        <v>0.31015999999999999</v>
      </c>
    </row>
    <row r="13" spans="1:4" x14ac:dyDescent="0.35">
      <c r="A13" t="s">
        <v>80</v>
      </c>
      <c r="B13">
        <v>1.3</v>
      </c>
      <c r="C13" t="s">
        <v>230</v>
      </c>
      <c r="D13">
        <v>0.73982999999999999</v>
      </c>
    </row>
    <row r="14" spans="1:4" x14ac:dyDescent="0.35">
      <c r="A14" t="s">
        <v>86</v>
      </c>
      <c r="B14">
        <v>0.84</v>
      </c>
      <c r="C14" t="s">
        <v>231</v>
      </c>
      <c r="D14">
        <v>0.82062000000000002</v>
      </c>
    </row>
    <row r="15" spans="1:4" x14ac:dyDescent="0.35">
      <c r="A15" t="s">
        <v>92</v>
      </c>
      <c r="B15">
        <v>0.49</v>
      </c>
      <c r="C15" t="s">
        <v>232</v>
      </c>
      <c r="D15">
        <v>1.0000000000000001E-5</v>
      </c>
    </row>
    <row r="16" spans="1:4" x14ac:dyDescent="0.35">
      <c r="A16" t="s">
        <v>97</v>
      </c>
      <c r="B16">
        <v>1.0900000000000001</v>
      </c>
      <c r="C16" t="s">
        <v>233</v>
      </c>
      <c r="D16">
        <v>0.57504999999999995</v>
      </c>
    </row>
    <row r="17" spans="1:4" x14ac:dyDescent="0.35">
      <c r="A17" t="s">
        <v>102</v>
      </c>
      <c r="B17">
        <v>1.04</v>
      </c>
      <c r="C17" t="s">
        <v>234</v>
      </c>
      <c r="D17">
        <v>0.49157000000000001</v>
      </c>
    </row>
    <row r="18" spans="1:4" x14ac:dyDescent="0.35">
      <c r="A18" t="s">
        <v>107</v>
      </c>
      <c r="B18">
        <v>1</v>
      </c>
      <c r="C18" t="s">
        <v>235</v>
      </c>
      <c r="D18">
        <v>8.8999999999999995E-4</v>
      </c>
    </row>
    <row r="19" spans="1:4" x14ac:dyDescent="0.35">
      <c r="A19" t="s">
        <v>112</v>
      </c>
      <c r="B19">
        <v>0.99</v>
      </c>
      <c r="C19" t="s">
        <v>236</v>
      </c>
      <c r="D19">
        <v>0.89746000000000004</v>
      </c>
    </row>
    <row r="20" spans="1:4" x14ac:dyDescent="0.35">
      <c r="A20" t="s">
        <v>118</v>
      </c>
      <c r="B20">
        <v>1.02</v>
      </c>
      <c r="C20" t="s">
        <v>221</v>
      </c>
      <c r="D20">
        <v>1.0000000000000001E-5</v>
      </c>
    </row>
    <row r="21" spans="1:4" x14ac:dyDescent="0.35">
      <c r="A21" t="s">
        <v>123</v>
      </c>
      <c r="B21">
        <v>0.84</v>
      </c>
      <c r="C21" t="s">
        <v>237</v>
      </c>
      <c r="D21">
        <v>0.11433</v>
      </c>
    </row>
    <row r="22" spans="1:4" x14ac:dyDescent="0.35">
      <c r="A22" t="s">
        <v>128</v>
      </c>
      <c r="B22">
        <v>1</v>
      </c>
      <c r="C22" t="s">
        <v>235</v>
      </c>
      <c r="D22">
        <v>4.9399999999999999E-3</v>
      </c>
    </row>
    <row r="23" spans="1:4" x14ac:dyDescent="0.35">
      <c r="A23" t="s">
        <v>131</v>
      </c>
      <c r="B23">
        <v>1.01</v>
      </c>
      <c r="C23" t="s">
        <v>238</v>
      </c>
      <c r="D23">
        <v>0.47188999999999998</v>
      </c>
    </row>
    <row r="24" spans="1:4" x14ac:dyDescent="0.35">
      <c r="A24" t="s">
        <v>135</v>
      </c>
      <c r="B24">
        <v>1</v>
      </c>
      <c r="C24" t="s">
        <v>235</v>
      </c>
      <c r="D24">
        <v>1.0000000000000001E-5</v>
      </c>
    </row>
    <row r="25" spans="1:4" x14ac:dyDescent="0.35">
      <c r="A25" t="s">
        <v>139</v>
      </c>
      <c r="B25">
        <v>1</v>
      </c>
      <c r="C25" t="s">
        <v>235</v>
      </c>
      <c r="D25">
        <v>2.0000000000000001E-4</v>
      </c>
    </row>
    <row r="26" spans="1:4" x14ac:dyDescent="0.35">
      <c r="A26" t="s">
        <v>143</v>
      </c>
      <c r="B26">
        <v>1</v>
      </c>
      <c r="C26" t="s">
        <v>235</v>
      </c>
      <c r="D26">
        <v>2.3290000000000002E-2</v>
      </c>
    </row>
    <row r="27" spans="1:4" x14ac:dyDescent="0.35">
      <c r="A27" t="s">
        <v>145</v>
      </c>
      <c r="B27">
        <v>1.2</v>
      </c>
      <c r="C27" t="s">
        <v>239</v>
      </c>
      <c r="D27">
        <v>1.389E-2</v>
      </c>
    </row>
    <row r="28" spans="1:4" x14ac:dyDescent="0.35">
      <c r="A28" t="s">
        <v>150</v>
      </c>
      <c r="B28">
        <v>1</v>
      </c>
      <c r="C28" t="s">
        <v>235</v>
      </c>
      <c r="D28">
        <v>0.56583000000000006</v>
      </c>
    </row>
    <row r="29" spans="1:4" x14ac:dyDescent="0.35">
      <c r="A29" t="s">
        <v>151</v>
      </c>
      <c r="B29">
        <v>1.23</v>
      </c>
      <c r="C29" t="s">
        <v>240</v>
      </c>
      <c r="D29">
        <v>0</v>
      </c>
    </row>
    <row r="30" spans="1:4" x14ac:dyDescent="0.35">
      <c r="A30" t="s">
        <v>155</v>
      </c>
      <c r="B30">
        <v>0.95</v>
      </c>
      <c r="C30" t="s">
        <v>241</v>
      </c>
      <c r="D30">
        <v>3.0000000000000001E-5</v>
      </c>
    </row>
    <row r="31" spans="1:4" x14ac:dyDescent="0.35">
      <c r="A31" t="s">
        <v>242</v>
      </c>
      <c r="B31">
        <v>0.78</v>
      </c>
      <c r="C31" t="s">
        <v>243</v>
      </c>
      <c r="D31">
        <v>4.64E-3</v>
      </c>
    </row>
    <row r="32" spans="1:4" x14ac:dyDescent="0.35">
      <c r="A32" t="s">
        <v>197</v>
      </c>
      <c r="B32">
        <v>4.67</v>
      </c>
      <c r="C32" t="s">
        <v>244</v>
      </c>
      <c r="D32">
        <v>0</v>
      </c>
    </row>
    <row r="33" spans="1:4" x14ac:dyDescent="0.35">
      <c r="A33" t="s">
        <v>202</v>
      </c>
      <c r="B33">
        <v>2</v>
      </c>
      <c r="C33" t="s">
        <v>245</v>
      </c>
      <c r="D33">
        <v>0</v>
      </c>
    </row>
    <row r="34" spans="1:4" x14ac:dyDescent="0.35">
      <c r="A34" t="s">
        <v>207</v>
      </c>
      <c r="B34">
        <v>3.41</v>
      </c>
      <c r="C34" t="s">
        <v>246</v>
      </c>
      <c r="D34">
        <v>0</v>
      </c>
    </row>
    <row r="35" spans="1:4" x14ac:dyDescent="0.35">
      <c r="A35" t="s">
        <v>212</v>
      </c>
      <c r="B35">
        <v>1.71</v>
      </c>
      <c r="C35" t="s">
        <v>247</v>
      </c>
      <c r="D35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topLeftCell="A4" workbookViewId="0">
      <selection activeCell="A3" activeCellId="1" sqref="A5:D5 A3:D3"/>
    </sheetView>
  </sheetViews>
  <sheetFormatPr defaultColWidth="10.90625" defaultRowHeight="14.5" x14ac:dyDescent="0.35"/>
  <sheetData>
    <row r="1" spans="1:4" x14ac:dyDescent="0.35">
      <c r="A1" t="s">
        <v>248</v>
      </c>
      <c r="B1" t="s">
        <v>5</v>
      </c>
      <c r="C1" t="s">
        <v>218</v>
      </c>
      <c r="D1" t="s">
        <v>219</v>
      </c>
    </row>
    <row r="2" spans="1:4" x14ac:dyDescent="0.35">
      <c r="A2" t="s">
        <v>7</v>
      </c>
      <c r="B2">
        <v>1.02</v>
      </c>
      <c r="C2" t="s">
        <v>221</v>
      </c>
      <c r="D2">
        <v>0</v>
      </c>
    </row>
    <row r="3" spans="1:4" x14ac:dyDescent="0.35">
      <c r="A3" t="s">
        <v>20</v>
      </c>
      <c r="B3">
        <v>3.21</v>
      </c>
      <c r="C3" t="s">
        <v>249</v>
      </c>
      <c r="D3">
        <v>0.36041000000000001</v>
      </c>
    </row>
    <row r="4" spans="1:4" x14ac:dyDescent="0.35">
      <c r="A4" t="s">
        <v>26</v>
      </c>
      <c r="B4">
        <v>0.64</v>
      </c>
      <c r="C4" t="s">
        <v>222</v>
      </c>
      <c r="D4">
        <v>4.8999999999999998E-4</v>
      </c>
    </row>
    <row r="5" spans="1:4" x14ac:dyDescent="0.35">
      <c r="A5" t="s">
        <v>31</v>
      </c>
      <c r="B5">
        <v>1.24</v>
      </c>
      <c r="C5" t="s">
        <v>250</v>
      </c>
      <c r="D5">
        <v>0</v>
      </c>
    </row>
    <row r="6" spans="1:4" x14ac:dyDescent="0.35">
      <c r="A6" t="s">
        <v>37</v>
      </c>
      <c r="B6">
        <v>1.87</v>
      </c>
      <c r="C6" t="s">
        <v>251</v>
      </c>
      <c r="D6">
        <v>0.36131999999999997</v>
      </c>
    </row>
    <row r="7" spans="1:4" x14ac:dyDescent="0.35">
      <c r="A7" t="s">
        <v>44</v>
      </c>
      <c r="B7">
        <v>0.98</v>
      </c>
      <c r="C7" t="s">
        <v>224</v>
      </c>
      <c r="D7">
        <v>0.78688999999999998</v>
      </c>
    </row>
    <row r="8" spans="1:4" x14ac:dyDescent="0.35">
      <c r="A8" t="s">
        <v>49</v>
      </c>
      <c r="B8">
        <v>0.78</v>
      </c>
      <c r="C8" t="s">
        <v>252</v>
      </c>
      <c r="D8">
        <v>0.74422999999999995</v>
      </c>
    </row>
    <row r="9" spans="1:4" x14ac:dyDescent="0.35">
      <c r="A9" t="s">
        <v>55</v>
      </c>
      <c r="B9">
        <v>1</v>
      </c>
      <c r="C9" t="s">
        <v>226</v>
      </c>
      <c r="D9">
        <v>0.9909</v>
      </c>
    </row>
    <row r="10" spans="1:4" x14ac:dyDescent="0.35">
      <c r="A10" t="s">
        <v>59</v>
      </c>
      <c r="B10">
        <v>0.92</v>
      </c>
      <c r="C10" t="s">
        <v>253</v>
      </c>
      <c r="D10">
        <v>0.33618999999999999</v>
      </c>
    </row>
    <row r="11" spans="1:4" x14ac:dyDescent="0.35">
      <c r="A11" t="s">
        <v>63</v>
      </c>
      <c r="B11">
        <v>0.53</v>
      </c>
      <c r="C11" t="s">
        <v>254</v>
      </c>
      <c r="D11">
        <v>0.35518</v>
      </c>
    </row>
    <row r="12" spans="1:4" x14ac:dyDescent="0.35">
      <c r="A12" t="s">
        <v>70</v>
      </c>
      <c r="B12">
        <v>0.98</v>
      </c>
      <c r="C12" t="s">
        <v>255</v>
      </c>
      <c r="D12">
        <v>0.78863000000000005</v>
      </c>
    </row>
    <row r="13" spans="1:4" x14ac:dyDescent="0.35">
      <c r="A13" t="s">
        <v>75</v>
      </c>
      <c r="B13">
        <v>0.51</v>
      </c>
      <c r="C13" t="s">
        <v>256</v>
      </c>
      <c r="D13">
        <v>0.32821</v>
      </c>
    </row>
    <row r="14" spans="1:4" x14ac:dyDescent="0.35">
      <c r="A14" t="s">
        <v>80</v>
      </c>
      <c r="B14">
        <v>1.32</v>
      </c>
      <c r="C14" t="s">
        <v>257</v>
      </c>
      <c r="D14">
        <v>0.72326000000000001</v>
      </c>
    </row>
    <row r="15" spans="1:4" x14ac:dyDescent="0.35">
      <c r="A15" t="s">
        <v>86</v>
      </c>
      <c r="B15">
        <v>0.85</v>
      </c>
      <c r="C15" t="s">
        <v>258</v>
      </c>
      <c r="D15">
        <v>0.82989999999999997</v>
      </c>
    </row>
    <row r="16" spans="1:4" x14ac:dyDescent="0.35">
      <c r="A16" t="s">
        <v>92</v>
      </c>
      <c r="B16">
        <v>0.5</v>
      </c>
      <c r="C16" t="s">
        <v>259</v>
      </c>
      <c r="D16">
        <v>1.0000000000000001E-5</v>
      </c>
    </row>
    <row r="17" spans="1:4" x14ac:dyDescent="0.35">
      <c r="A17" t="s">
        <v>97</v>
      </c>
      <c r="B17">
        <v>0.67</v>
      </c>
      <c r="C17" t="s">
        <v>260</v>
      </c>
      <c r="D17">
        <v>0.23074</v>
      </c>
    </row>
    <row r="18" spans="1:4" x14ac:dyDescent="0.35">
      <c r="A18" t="s">
        <v>102</v>
      </c>
      <c r="B18">
        <v>1.22</v>
      </c>
      <c r="C18" t="s">
        <v>261</v>
      </c>
      <c r="D18">
        <v>8.2100000000000006E-2</v>
      </c>
    </row>
    <row r="19" spans="1:4" x14ac:dyDescent="0.35">
      <c r="A19" t="s">
        <v>107</v>
      </c>
      <c r="B19">
        <v>1</v>
      </c>
      <c r="C19" t="s">
        <v>235</v>
      </c>
      <c r="D19">
        <v>1.0200000000000001E-3</v>
      </c>
    </row>
    <row r="20" spans="1:4" x14ac:dyDescent="0.35">
      <c r="A20" t="s">
        <v>112</v>
      </c>
      <c r="B20">
        <v>0.99</v>
      </c>
      <c r="C20" t="s">
        <v>236</v>
      </c>
      <c r="D20">
        <v>0.92186000000000001</v>
      </c>
    </row>
    <row r="21" spans="1:4" x14ac:dyDescent="0.35">
      <c r="A21" t="s">
        <v>118</v>
      </c>
      <c r="B21">
        <v>1.02</v>
      </c>
      <c r="C21" t="s">
        <v>221</v>
      </c>
      <c r="D21">
        <v>1.0000000000000001E-5</v>
      </c>
    </row>
    <row r="22" spans="1:4" x14ac:dyDescent="0.35">
      <c r="A22" t="s">
        <v>123</v>
      </c>
      <c r="B22">
        <v>0.84</v>
      </c>
      <c r="C22" t="s">
        <v>237</v>
      </c>
      <c r="D22">
        <v>0.11475</v>
      </c>
    </row>
    <row r="23" spans="1:4" x14ac:dyDescent="0.35">
      <c r="A23" t="s">
        <v>128</v>
      </c>
      <c r="B23">
        <v>1</v>
      </c>
      <c r="C23" t="s">
        <v>235</v>
      </c>
      <c r="D23">
        <v>4.3299999999999996E-3</v>
      </c>
    </row>
    <row r="24" spans="1:4" x14ac:dyDescent="0.35">
      <c r="A24" t="s">
        <v>131</v>
      </c>
      <c r="B24">
        <v>1.01</v>
      </c>
      <c r="C24" t="s">
        <v>238</v>
      </c>
      <c r="D24">
        <v>0.47388000000000002</v>
      </c>
    </row>
    <row r="25" spans="1:4" x14ac:dyDescent="0.35">
      <c r="A25" t="s">
        <v>135</v>
      </c>
      <c r="B25">
        <v>1</v>
      </c>
      <c r="C25" t="s">
        <v>235</v>
      </c>
      <c r="D25">
        <v>0</v>
      </c>
    </row>
    <row r="26" spans="1:4" x14ac:dyDescent="0.35">
      <c r="A26" t="s">
        <v>139</v>
      </c>
      <c r="B26">
        <v>1</v>
      </c>
      <c r="C26" t="s">
        <v>235</v>
      </c>
      <c r="D26">
        <v>2.1000000000000001E-4</v>
      </c>
    </row>
    <row r="27" spans="1:4" x14ac:dyDescent="0.35">
      <c r="A27" t="s">
        <v>143</v>
      </c>
      <c r="B27">
        <v>1</v>
      </c>
      <c r="C27" t="s">
        <v>235</v>
      </c>
      <c r="D27">
        <v>2.75E-2</v>
      </c>
    </row>
    <row r="28" spans="1:4" x14ac:dyDescent="0.35">
      <c r="A28" t="s">
        <v>145</v>
      </c>
      <c r="B28">
        <v>1.2</v>
      </c>
      <c r="C28" t="s">
        <v>262</v>
      </c>
      <c r="D28">
        <v>1.2959999999999999E-2</v>
      </c>
    </row>
    <row r="29" spans="1:4" x14ac:dyDescent="0.35">
      <c r="A29" t="s">
        <v>150</v>
      </c>
      <c r="B29">
        <v>1</v>
      </c>
      <c r="C29" t="s">
        <v>235</v>
      </c>
      <c r="D29">
        <v>0.54449000000000003</v>
      </c>
    </row>
    <row r="30" spans="1:4" x14ac:dyDescent="0.35">
      <c r="A30" t="s">
        <v>151</v>
      </c>
      <c r="B30">
        <v>1.23</v>
      </c>
      <c r="C30" t="s">
        <v>240</v>
      </c>
      <c r="D30">
        <v>0</v>
      </c>
    </row>
    <row r="31" spans="1:4" x14ac:dyDescent="0.35">
      <c r="A31" t="s">
        <v>155</v>
      </c>
      <c r="B31">
        <v>0.95</v>
      </c>
      <c r="C31" t="s">
        <v>241</v>
      </c>
      <c r="D31">
        <v>4.0000000000000003E-5</v>
      </c>
    </row>
    <row r="32" spans="1:4" x14ac:dyDescent="0.35">
      <c r="A32" t="s">
        <v>242</v>
      </c>
      <c r="B32">
        <v>0.78</v>
      </c>
      <c r="C32" t="s">
        <v>243</v>
      </c>
      <c r="D32">
        <v>4.9399999999999999E-3</v>
      </c>
    </row>
    <row r="33" spans="1:4" x14ac:dyDescent="0.35">
      <c r="A33" t="s">
        <v>197</v>
      </c>
      <c r="B33">
        <v>4.67</v>
      </c>
      <c r="C33" t="s">
        <v>244</v>
      </c>
      <c r="D33">
        <v>0</v>
      </c>
    </row>
    <row r="34" spans="1:4" x14ac:dyDescent="0.35">
      <c r="A34" t="s">
        <v>202</v>
      </c>
      <c r="B34">
        <v>2</v>
      </c>
      <c r="C34" t="s">
        <v>245</v>
      </c>
      <c r="D34">
        <v>0</v>
      </c>
    </row>
    <row r="35" spans="1:4" x14ac:dyDescent="0.35">
      <c r="A35" t="s">
        <v>207</v>
      </c>
      <c r="B35">
        <v>3.41</v>
      </c>
      <c r="C35" t="s">
        <v>263</v>
      </c>
      <c r="D35">
        <v>0</v>
      </c>
    </row>
    <row r="36" spans="1:4" x14ac:dyDescent="0.35">
      <c r="A36" t="s">
        <v>212</v>
      </c>
      <c r="B36">
        <v>1.71</v>
      </c>
      <c r="C36" t="s">
        <v>264</v>
      </c>
      <c r="D36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11A7-EA36-4954-B94E-58A258B0C826}">
  <dimension ref="A1:F37"/>
  <sheetViews>
    <sheetView workbookViewId="0">
      <selection activeCell="F2" sqref="F2"/>
    </sheetView>
  </sheetViews>
  <sheetFormatPr defaultRowHeight="14.5" x14ac:dyDescent="0.35"/>
  <cols>
    <col min="1" max="1" width="31.26953125" bestFit="1" customWidth="1"/>
  </cols>
  <sheetData>
    <row r="1" spans="1:6" x14ac:dyDescent="0.35">
      <c r="A1" t="s">
        <v>217</v>
      </c>
      <c r="B1" t="s">
        <v>5</v>
      </c>
      <c r="C1" t="s">
        <v>218</v>
      </c>
      <c r="D1" t="s">
        <v>219</v>
      </c>
    </row>
    <row r="2" spans="1:6" x14ac:dyDescent="0.35">
      <c r="A2" t="s">
        <v>14</v>
      </c>
      <c r="B2">
        <v>1.96</v>
      </c>
      <c r="C2" t="s">
        <v>220</v>
      </c>
      <c r="D2">
        <v>0</v>
      </c>
      <c r="E2" t="str">
        <f>_xlfn.CONCAT(A2,", ")</f>
        <v xml:space="preserve">RMR, </v>
      </c>
      <c r="F2" t="str">
        <f>_xlfn.CONCAT(E:E)</f>
        <v xml:space="preserve">RMR, MCHC, RDW, Age, ALB, WBC, LymP, Mon, SegneP, EoP, Lym, MonP, SeneP, Eo, Ba, RBC, Hg, Hem, Plt, MPV, BUN, Ca, TC, HCO3, GGT, Glu, Fe, TP, TG, UA, Cl, SexMale, ASCVD, angina, heart.attack, Hypertension, </v>
      </c>
    </row>
    <row r="3" spans="1:6" x14ac:dyDescent="0.35">
      <c r="A3" t="s">
        <v>20</v>
      </c>
      <c r="B3">
        <v>3.21</v>
      </c>
      <c r="C3" t="s">
        <v>249</v>
      </c>
      <c r="D3">
        <v>0.36041000000000001</v>
      </c>
      <c r="E3" t="str">
        <f t="shared" ref="E3:E37" si="0">_xlfn.CONCAT(A3,", ")</f>
        <v xml:space="preserve">MCHC, </v>
      </c>
    </row>
    <row r="4" spans="1:6" x14ac:dyDescent="0.35">
      <c r="A4" t="s">
        <v>31</v>
      </c>
      <c r="B4">
        <v>1.24</v>
      </c>
      <c r="C4" t="s">
        <v>250</v>
      </c>
      <c r="D4">
        <v>0</v>
      </c>
      <c r="E4" t="str">
        <f t="shared" si="0"/>
        <v xml:space="preserve">RDW, </v>
      </c>
    </row>
    <row r="5" spans="1:6" x14ac:dyDescent="0.35">
      <c r="A5" t="s">
        <v>7</v>
      </c>
      <c r="B5">
        <v>1.02</v>
      </c>
      <c r="C5" t="s">
        <v>221</v>
      </c>
      <c r="D5">
        <v>0</v>
      </c>
      <c r="E5" t="str">
        <f t="shared" si="0"/>
        <v xml:space="preserve">Age, </v>
      </c>
    </row>
    <row r="6" spans="1:6" x14ac:dyDescent="0.35">
      <c r="A6" t="s">
        <v>26</v>
      </c>
      <c r="B6">
        <v>0.64</v>
      </c>
      <c r="C6" t="s">
        <v>222</v>
      </c>
      <c r="D6">
        <v>4.4999999999999999E-4</v>
      </c>
      <c r="E6" t="str">
        <f t="shared" si="0"/>
        <v xml:space="preserve">ALB, </v>
      </c>
    </row>
    <row r="7" spans="1:6" x14ac:dyDescent="0.35">
      <c r="A7" t="s">
        <v>37</v>
      </c>
      <c r="B7">
        <v>1.91</v>
      </c>
      <c r="C7" t="s">
        <v>223</v>
      </c>
      <c r="D7">
        <v>0.34050999999999998</v>
      </c>
      <c r="E7" t="str">
        <f t="shared" si="0"/>
        <v xml:space="preserve">WBC, </v>
      </c>
    </row>
    <row r="8" spans="1:6" x14ac:dyDescent="0.35">
      <c r="A8" t="s">
        <v>44</v>
      </c>
      <c r="B8">
        <v>0.98</v>
      </c>
      <c r="C8" t="s">
        <v>224</v>
      </c>
      <c r="D8">
        <v>0.82803000000000004</v>
      </c>
      <c r="E8" t="str">
        <f t="shared" si="0"/>
        <v xml:space="preserve">LymP, </v>
      </c>
    </row>
    <row r="9" spans="1:6" x14ac:dyDescent="0.35">
      <c r="A9" t="s">
        <v>49</v>
      </c>
      <c r="B9">
        <v>0.77</v>
      </c>
      <c r="C9" t="s">
        <v>225</v>
      </c>
      <c r="D9">
        <v>0.72006000000000003</v>
      </c>
      <c r="E9" t="str">
        <f t="shared" si="0"/>
        <v xml:space="preserve">Mon, </v>
      </c>
    </row>
    <row r="10" spans="1:6" x14ac:dyDescent="0.35">
      <c r="A10" t="s">
        <v>55</v>
      </c>
      <c r="B10">
        <v>1</v>
      </c>
      <c r="C10" t="s">
        <v>226</v>
      </c>
      <c r="D10">
        <v>0.96575999999999995</v>
      </c>
      <c r="E10" t="str">
        <f t="shared" si="0"/>
        <v xml:space="preserve">SegneP, </v>
      </c>
    </row>
    <row r="11" spans="1:6" x14ac:dyDescent="0.35">
      <c r="A11" t="s">
        <v>59</v>
      </c>
      <c r="B11">
        <v>0.93</v>
      </c>
      <c r="C11" t="s">
        <v>227</v>
      </c>
      <c r="D11">
        <v>0.36019000000000001</v>
      </c>
      <c r="E11" t="str">
        <f t="shared" si="0"/>
        <v xml:space="preserve">EoP, </v>
      </c>
    </row>
    <row r="12" spans="1:6" x14ac:dyDescent="0.35">
      <c r="A12" t="s">
        <v>63</v>
      </c>
      <c r="B12">
        <v>0.52</v>
      </c>
      <c r="C12" t="s">
        <v>228</v>
      </c>
      <c r="D12">
        <v>0.33382000000000001</v>
      </c>
      <c r="E12" t="str">
        <f t="shared" si="0"/>
        <v xml:space="preserve">Lym, </v>
      </c>
    </row>
    <row r="13" spans="1:6" x14ac:dyDescent="0.35">
      <c r="A13" t="s">
        <v>70</v>
      </c>
      <c r="B13">
        <v>0.98</v>
      </c>
      <c r="C13" t="s">
        <v>224</v>
      </c>
      <c r="D13">
        <v>0.82271000000000005</v>
      </c>
      <c r="E13" t="str">
        <f t="shared" si="0"/>
        <v xml:space="preserve">MonP, </v>
      </c>
    </row>
    <row r="14" spans="1:6" x14ac:dyDescent="0.35">
      <c r="A14" t="s">
        <v>75</v>
      </c>
      <c r="B14">
        <v>0.5</v>
      </c>
      <c r="C14" t="s">
        <v>229</v>
      </c>
      <c r="D14">
        <v>0.31015999999999999</v>
      </c>
      <c r="E14" t="str">
        <f t="shared" si="0"/>
        <v xml:space="preserve">SeneP, </v>
      </c>
    </row>
    <row r="15" spans="1:6" x14ac:dyDescent="0.35">
      <c r="A15" t="s">
        <v>80</v>
      </c>
      <c r="B15">
        <v>1.3</v>
      </c>
      <c r="C15" t="s">
        <v>230</v>
      </c>
      <c r="D15">
        <v>0.73982999999999999</v>
      </c>
      <c r="E15" t="str">
        <f t="shared" si="0"/>
        <v xml:space="preserve">Eo, </v>
      </c>
    </row>
    <row r="16" spans="1:6" x14ac:dyDescent="0.35">
      <c r="A16" t="s">
        <v>86</v>
      </c>
      <c r="B16">
        <v>0.84</v>
      </c>
      <c r="C16" t="s">
        <v>231</v>
      </c>
      <c r="D16">
        <v>0.82062000000000002</v>
      </c>
      <c r="E16" t="str">
        <f t="shared" si="0"/>
        <v xml:space="preserve">Ba, </v>
      </c>
    </row>
    <row r="17" spans="1:5" x14ac:dyDescent="0.35">
      <c r="A17" t="s">
        <v>92</v>
      </c>
      <c r="B17">
        <v>0.49</v>
      </c>
      <c r="C17" t="s">
        <v>232</v>
      </c>
      <c r="D17">
        <v>1.0000000000000001E-5</v>
      </c>
      <c r="E17" t="str">
        <f t="shared" si="0"/>
        <v xml:space="preserve">RBC, </v>
      </c>
    </row>
    <row r="18" spans="1:5" x14ac:dyDescent="0.35">
      <c r="A18" t="s">
        <v>97</v>
      </c>
      <c r="B18">
        <v>1.0900000000000001</v>
      </c>
      <c r="C18" t="s">
        <v>233</v>
      </c>
      <c r="D18">
        <v>0.57504999999999995</v>
      </c>
      <c r="E18" t="str">
        <f t="shared" si="0"/>
        <v xml:space="preserve">Hg, </v>
      </c>
    </row>
    <row r="19" spans="1:5" x14ac:dyDescent="0.35">
      <c r="A19" t="s">
        <v>102</v>
      </c>
      <c r="B19">
        <v>1.04</v>
      </c>
      <c r="C19" t="s">
        <v>234</v>
      </c>
      <c r="D19">
        <v>0.49157000000000001</v>
      </c>
      <c r="E19" t="str">
        <f t="shared" si="0"/>
        <v xml:space="preserve">Hem, </v>
      </c>
    </row>
    <row r="20" spans="1:5" x14ac:dyDescent="0.35">
      <c r="A20" t="s">
        <v>107</v>
      </c>
      <c r="B20">
        <v>1</v>
      </c>
      <c r="C20" t="s">
        <v>235</v>
      </c>
      <c r="D20">
        <v>8.8999999999999995E-4</v>
      </c>
      <c r="E20" t="str">
        <f t="shared" si="0"/>
        <v xml:space="preserve">Plt, </v>
      </c>
    </row>
    <row r="21" spans="1:5" x14ac:dyDescent="0.35">
      <c r="A21" t="s">
        <v>112</v>
      </c>
      <c r="B21">
        <v>0.99</v>
      </c>
      <c r="C21" t="s">
        <v>236</v>
      </c>
      <c r="D21">
        <v>0.89746000000000004</v>
      </c>
      <c r="E21" t="str">
        <f t="shared" si="0"/>
        <v xml:space="preserve">MPV, </v>
      </c>
    </row>
    <row r="22" spans="1:5" x14ac:dyDescent="0.35">
      <c r="A22" t="s">
        <v>118</v>
      </c>
      <c r="B22">
        <v>1.02</v>
      </c>
      <c r="C22" t="s">
        <v>221</v>
      </c>
      <c r="D22">
        <v>1.0000000000000001E-5</v>
      </c>
      <c r="E22" t="str">
        <f t="shared" si="0"/>
        <v xml:space="preserve">BUN, </v>
      </c>
    </row>
    <row r="23" spans="1:5" x14ac:dyDescent="0.35">
      <c r="A23" t="s">
        <v>123</v>
      </c>
      <c r="B23">
        <v>0.84</v>
      </c>
      <c r="C23" t="s">
        <v>237</v>
      </c>
      <c r="D23">
        <v>0.11433</v>
      </c>
      <c r="E23" t="str">
        <f t="shared" si="0"/>
        <v xml:space="preserve">Ca, </v>
      </c>
    </row>
    <row r="24" spans="1:5" x14ac:dyDescent="0.35">
      <c r="A24" t="s">
        <v>128</v>
      </c>
      <c r="B24">
        <v>1</v>
      </c>
      <c r="C24" t="s">
        <v>235</v>
      </c>
      <c r="D24">
        <v>4.9399999999999999E-3</v>
      </c>
      <c r="E24" t="str">
        <f t="shared" si="0"/>
        <v xml:space="preserve">TC, </v>
      </c>
    </row>
    <row r="25" spans="1:5" x14ac:dyDescent="0.35">
      <c r="A25" t="s">
        <v>131</v>
      </c>
      <c r="B25">
        <v>1.01</v>
      </c>
      <c r="C25" t="s">
        <v>238</v>
      </c>
      <c r="D25">
        <v>0.47188999999999998</v>
      </c>
      <c r="E25" t="str">
        <f t="shared" si="0"/>
        <v xml:space="preserve">HCO3, </v>
      </c>
    </row>
    <row r="26" spans="1:5" x14ac:dyDescent="0.35">
      <c r="A26" t="s">
        <v>135</v>
      </c>
      <c r="B26">
        <v>1</v>
      </c>
      <c r="C26" t="s">
        <v>235</v>
      </c>
      <c r="D26">
        <v>1.0000000000000001E-5</v>
      </c>
      <c r="E26" t="str">
        <f t="shared" si="0"/>
        <v xml:space="preserve">GGT, </v>
      </c>
    </row>
    <row r="27" spans="1:5" x14ac:dyDescent="0.35">
      <c r="A27" t="s">
        <v>139</v>
      </c>
      <c r="B27">
        <v>1</v>
      </c>
      <c r="C27" t="s">
        <v>235</v>
      </c>
      <c r="D27">
        <v>2.0000000000000001E-4</v>
      </c>
      <c r="E27" t="str">
        <f t="shared" si="0"/>
        <v xml:space="preserve">Glu, </v>
      </c>
    </row>
    <row r="28" spans="1:5" x14ac:dyDescent="0.35">
      <c r="A28" t="s">
        <v>143</v>
      </c>
      <c r="B28">
        <v>1</v>
      </c>
      <c r="C28" t="s">
        <v>235</v>
      </c>
      <c r="D28">
        <v>2.3290000000000002E-2</v>
      </c>
      <c r="E28" t="str">
        <f t="shared" si="0"/>
        <v xml:space="preserve">Fe, </v>
      </c>
    </row>
    <row r="29" spans="1:5" x14ac:dyDescent="0.35">
      <c r="A29" t="s">
        <v>145</v>
      </c>
      <c r="B29">
        <v>1.2</v>
      </c>
      <c r="C29" t="s">
        <v>239</v>
      </c>
      <c r="D29">
        <v>1.389E-2</v>
      </c>
      <c r="E29" t="str">
        <f t="shared" si="0"/>
        <v xml:space="preserve">TP, </v>
      </c>
    </row>
    <row r="30" spans="1:5" x14ac:dyDescent="0.35">
      <c r="A30" t="s">
        <v>150</v>
      </c>
      <c r="B30">
        <v>1</v>
      </c>
      <c r="C30" t="s">
        <v>235</v>
      </c>
      <c r="D30">
        <v>0.56583000000000006</v>
      </c>
      <c r="E30" t="str">
        <f t="shared" si="0"/>
        <v xml:space="preserve">TG, </v>
      </c>
    </row>
    <row r="31" spans="1:5" x14ac:dyDescent="0.35">
      <c r="A31" t="s">
        <v>151</v>
      </c>
      <c r="B31">
        <v>1.23</v>
      </c>
      <c r="C31" t="s">
        <v>240</v>
      </c>
      <c r="D31">
        <v>0</v>
      </c>
      <c r="E31" t="str">
        <f t="shared" si="0"/>
        <v xml:space="preserve">UA, </v>
      </c>
    </row>
    <row r="32" spans="1:5" x14ac:dyDescent="0.35">
      <c r="A32" t="s">
        <v>155</v>
      </c>
      <c r="B32">
        <v>0.95</v>
      </c>
      <c r="C32" t="s">
        <v>241</v>
      </c>
      <c r="D32">
        <v>3.0000000000000001E-5</v>
      </c>
      <c r="E32" t="str">
        <f t="shared" si="0"/>
        <v xml:space="preserve">Cl, </v>
      </c>
    </row>
    <row r="33" spans="1:5" x14ac:dyDescent="0.35">
      <c r="A33" t="s">
        <v>242</v>
      </c>
      <c r="B33">
        <v>0.78</v>
      </c>
      <c r="C33" t="s">
        <v>243</v>
      </c>
      <c r="D33">
        <v>4.64E-3</v>
      </c>
      <c r="E33" t="str">
        <f t="shared" si="0"/>
        <v xml:space="preserve">SexMale, </v>
      </c>
    </row>
    <row r="34" spans="1:5" x14ac:dyDescent="0.35">
      <c r="A34" t="s">
        <v>197</v>
      </c>
      <c r="B34">
        <v>4.67</v>
      </c>
      <c r="C34" t="s">
        <v>244</v>
      </c>
      <c r="D34">
        <v>0</v>
      </c>
      <c r="E34" t="str">
        <f t="shared" si="0"/>
        <v xml:space="preserve">ASCVD, </v>
      </c>
    </row>
    <row r="35" spans="1:5" x14ac:dyDescent="0.35">
      <c r="A35" t="s">
        <v>202</v>
      </c>
      <c r="B35">
        <v>2</v>
      </c>
      <c r="C35" t="s">
        <v>245</v>
      </c>
      <c r="D35">
        <v>0</v>
      </c>
      <c r="E35" t="str">
        <f t="shared" si="0"/>
        <v xml:space="preserve">angina, </v>
      </c>
    </row>
    <row r="36" spans="1:5" x14ac:dyDescent="0.35">
      <c r="A36" t="s">
        <v>207</v>
      </c>
      <c r="B36">
        <v>3.41</v>
      </c>
      <c r="C36" t="s">
        <v>246</v>
      </c>
      <c r="D36">
        <v>0</v>
      </c>
      <c r="E36" t="str">
        <f t="shared" si="0"/>
        <v xml:space="preserve">heart.attack, </v>
      </c>
    </row>
    <row r="37" spans="1:5" x14ac:dyDescent="0.35">
      <c r="A37" t="s">
        <v>212</v>
      </c>
      <c r="B37">
        <v>1.71</v>
      </c>
      <c r="C37" t="s">
        <v>247</v>
      </c>
      <c r="D37">
        <v>0</v>
      </c>
      <c r="E37" t="str">
        <f t="shared" si="0"/>
        <v xml:space="preserve">Hypertension, 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workbookViewId="0">
      <selection activeCell="E23" sqref="A1:H47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6</v>
      </c>
    </row>
    <row r="2" spans="1:8" x14ac:dyDescent="0.35">
      <c r="A2" t="s">
        <v>7</v>
      </c>
      <c r="B2" t="s">
        <v>24</v>
      </c>
      <c r="C2" t="s">
        <v>9</v>
      </c>
      <c r="D2" t="s">
        <v>9</v>
      </c>
      <c r="E2" t="s">
        <v>271</v>
      </c>
      <c r="F2" t="s">
        <v>11</v>
      </c>
      <c r="G2" t="s">
        <v>61</v>
      </c>
      <c r="H2" t="s">
        <v>272</v>
      </c>
    </row>
    <row r="3" spans="1:8" x14ac:dyDescent="0.35">
      <c r="A3" t="s">
        <v>14</v>
      </c>
      <c r="B3" t="s">
        <v>273</v>
      </c>
      <c r="C3" t="s">
        <v>274</v>
      </c>
      <c r="D3" t="s">
        <v>8</v>
      </c>
      <c r="E3" t="s">
        <v>275</v>
      </c>
      <c r="F3" t="s">
        <v>11</v>
      </c>
      <c r="G3" t="s">
        <v>276</v>
      </c>
      <c r="H3" t="s">
        <v>277</v>
      </c>
    </row>
    <row r="4" spans="1:8" x14ac:dyDescent="0.35">
      <c r="A4" t="s">
        <v>20</v>
      </c>
      <c r="B4" t="s">
        <v>278</v>
      </c>
      <c r="C4" t="s">
        <v>279</v>
      </c>
      <c r="D4" t="s">
        <v>280</v>
      </c>
      <c r="E4" t="s">
        <v>281</v>
      </c>
      <c r="F4" t="s">
        <v>11</v>
      </c>
      <c r="G4" t="s">
        <v>173</v>
      </c>
      <c r="H4" t="s">
        <v>282</v>
      </c>
    </row>
    <row r="5" spans="1:8" x14ac:dyDescent="0.35">
      <c r="A5" t="s">
        <v>26</v>
      </c>
      <c r="B5" t="s">
        <v>283</v>
      </c>
      <c r="C5" t="s">
        <v>65</v>
      </c>
      <c r="D5" t="s">
        <v>76</v>
      </c>
      <c r="E5" t="s">
        <v>284</v>
      </c>
      <c r="F5" t="s">
        <v>11</v>
      </c>
      <c r="G5" t="s">
        <v>285</v>
      </c>
      <c r="H5" t="s">
        <v>286</v>
      </c>
    </row>
    <row r="6" spans="1:8" x14ac:dyDescent="0.35">
      <c r="A6" t="s">
        <v>31</v>
      </c>
      <c r="B6" t="s">
        <v>29</v>
      </c>
      <c r="C6" t="s">
        <v>39</v>
      </c>
      <c r="D6" t="s">
        <v>39</v>
      </c>
      <c r="E6" t="s">
        <v>287</v>
      </c>
      <c r="F6" t="s">
        <v>11</v>
      </c>
      <c r="G6" t="s">
        <v>288</v>
      </c>
      <c r="H6" t="s">
        <v>289</v>
      </c>
    </row>
    <row r="7" spans="1:8" x14ac:dyDescent="0.35">
      <c r="A7" t="s">
        <v>37</v>
      </c>
      <c r="B7" t="s">
        <v>38</v>
      </c>
      <c r="C7" t="s">
        <v>33</v>
      </c>
      <c r="D7" t="s">
        <v>33</v>
      </c>
      <c r="E7" t="s">
        <v>290</v>
      </c>
      <c r="F7" t="s">
        <v>24</v>
      </c>
      <c r="G7" t="s">
        <v>42</v>
      </c>
      <c r="H7" t="s">
        <v>291</v>
      </c>
    </row>
    <row r="8" spans="1:8" x14ac:dyDescent="0.35">
      <c r="A8" t="s">
        <v>44</v>
      </c>
      <c r="B8" t="s">
        <v>292</v>
      </c>
      <c r="C8" t="s">
        <v>9</v>
      </c>
      <c r="D8" t="s">
        <v>33</v>
      </c>
      <c r="E8" t="s">
        <v>293</v>
      </c>
      <c r="F8" t="s">
        <v>11</v>
      </c>
      <c r="G8" t="s">
        <v>294</v>
      </c>
      <c r="H8" t="s">
        <v>295</v>
      </c>
    </row>
    <row r="9" spans="1:8" x14ac:dyDescent="0.35">
      <c r="A9" t="s">
        <v>49</v>
      </c>
      <c r="B9" t="s">
        <v>133</v>
      </c>
      <c r="C9" t="s">
        <v>41</v>
      </c>
      <c r="D9" t="s">
        <v>296</v>
      </c>
      <c r="E9" t="s">
        <v>297</v>
      </c>
      <c r="F9" t="s">
        <v>11</v>
      </c>
      <c r="G9" t="s">
        <v>298</v>
      </c>
      <c r="H9" t="s">
        <v>299</v>
      </c>
    </row>
    <row r="10" spans="1:8" x14ac:dyDescent="0.35">
      <c r="A10" t="s">
        <v>55</v>
      </c>
      <c r="B10" t="s">
        <v>38</v>
      </c>
      <c r="C10" t="s">
        <v>9</v>
      </c>
      <c r="D10" t="s">
        <v>33</v>
      </c>
      <c r="E10" t="s">
        <v>300</v>
      </c>
      <c r="F10" t="s">
        <v>11</v>
      </c>
      <c r="G10" t="s">
        <v>42</v>
      </c>
      <c r="H10" t="s">
        <v>301</v>
      </c>
    </row>
    <row r="11" spans="1:8" x14ac:dyDescent="0.35">
      <c r="A11" t="s">
        <v>59</v>
      </c>
      <c r="B11" t="s">
        <v>33</v>
      </c>
      <c r="C11" t="s">
        <v>39</v>
      </c>
      <c r="D11" t="s">
        <v>39</v>
      </c>
      <c r="E11" t="s">
        <v>302</v>
      </c>
      <c r="F11" t="s">
        <v>303</v>
      </c>
      <c r="G11" t="s">
        <v>141</v>
      </c>
      <c r="H11" t="s">
        <v>304</v>
      </c>
    </row>
    <row r="12" spans="1:8" x14ac:dyDescent="0.35">
      <c r="A12" t="s">
        <v>63</v>
      </c>
      <c r="B12" t="s">
        <v>305</v>
      </c>
      <c r="C12" t="s">
        <v>274</v>
      </c>
      <c r="D12" t="s">
        <v>82</v>
      </c>
      <c r="E12" t="s">
        <v>306</v>
      </c>
      <c r="F12" t="s">
        <v>33</v>
      </c>
      <c r="G12" t="s">
        <v>307</v>
      </c>
      <c r="H12" t="s">
        <v>308</v>
      </c>
    </row>
    <row r="13" spans="1:8" x14ac:dyDescent="0.35">
      <c r="A13" t="s">
        <v>70</v>
      </c>
      <c r="B13" t="s">
        <v>24</v>
      </c>
      <c r="C13" t="s">
        <v>33</v>
      </c>
      <c r="D13" t="s">
        <v>33</v>
      </c>
      <c r="E13" t="s">
        <v>309</v>
      </c>
      <c r="F13" t="s">
        <v>11</v>
      </c>
      <c r="G13" t="s">
        <v>133</v>
      </c>
      <c r="H13" t="s">
        <v>310</v>
      </c>
    </row>
    <row r="14" spans="1:8" x14ac:dyDescent="0.35">
      <c r="A14" t="s">
        <v>75</v>
      </c>
      <c r="B14" t="s">
        <v>82</v>
      </c>
      <c r="C14" t="s">
        <v>39</v>
      </c>
      <c r="D14" t="s">
        <v>39</v>
      </c>
      <c r="E14" t="s">
        <v>311</v>
      </c>
      <c r="F14" t="s">
        <v>11</v>
      </c>
      <c r="G14" t="s">
        <v>121</v>
      </c>
      <c r="H14" t="s">
        <v>312</v>
      </c>
    </row>
    <row r="15" spans="1:8" x14ac:dyDescent="0.35">
      <c r="A15" t="s">
        <v>80</v>
      </c>
      <c r="B15" t="s">
        <v>41</v>
      </c>
      <c r="C15" t="s">
        <v>313</v>
      </c>
      <c r="D15" t="s">
        <v>314</v>
      </c>
      <c r="E15" t="s">
        <v>315</v>
      </c>
      <c r="F15" t="s">
        <v>316</v>
      </c>
      <c r="G15" t="s">
        <v>317</v>
      </c>
      <c r="H15" t="s">
        <v>318</v>
      </c>
    </row>
    <row r="16" spans="1:8" x14ac:dyDescent="0.35">
      <c r="A16" t="s">
        <v>86</v>
      </c>
      <c r="B16" t="s">
        <v>319</v>
      </c>
      <c r="C16" t="s">
        <v>320</v>
      </c>
      <c r="D16" t="s">
        <v>321</v>
      </c>
      <c r="E16" t="s">
        <v>322</v>
      </c>
      <c r="F16" t="s">
        <v>279</v>
      </c>
      <c r="G16" t="s">
        <v>323</v>
      </c>
      <c r="H16" t="s">
        <v>324</v>
      </c>
    </row>
    <row r="17" spans="1:8" x14ac:dyDescent="0.35">
      <c r="A17" t="s">
        <v>92</v>
      </c>
      <c r="B17" t="s">
        <v>325</v>
      </c>
      <c r="C17" t="s">
        <v>24</v>
      </c>
      <c r="D17" t="s">
        <v>71</v>
      </c>
      <c r="E17" t="s">
        <v>326</v>
      </c>
      <c r="F17" t="s">
        <v>11</v>
      </c>
      <c r="G17" t="s">
        <v>316</v>
      </c>
      <c r="H17" t="s">
        <v>327</v>
      </c>
    </row>
    <row r="18" spans="1:8" x14ac:dyDescent="0.35">
      <c r="A18" t="s">
        <v>97</v>
      </c>
      <c r="B18" t="s">
        <v>328</v>
      </c>
      <c r="C18" t="s">
        <v>39</v>
      </c>
      <c r="D18" t="s">
        <v>38</v>
      </c>
      <c r="E18" t="s">
        <v>329</v>
      </c>
      <c r="F18" t="s">
        <v>11</v>
      </c>
      <c r="G18" t="s">
        <v>330</v>
      </c>
      <c r="H18" t="s">
        <v>331</v>
      </c>
    </row>
    <row r="19" spans="1:8" x14ac:dyDescent="0.35">
      <c r="A19" t="s">
        <v>102</v>
      </c>
      <c r="B19" t="s">
        <v>332</v>
      </c>
      <c r="C19" t="s">
        <v>33</v>
      </c>
      <c r="D19" t="s">
        <v>33</v>
      </c>
      <c r="E19" t="s">
        <v>333</v>
      </c>
      <c r="F19" t="s">
        <v>11</v>
      </c>
      <c r="G19" t="s">
        <v>47</v>
      </c>
      <c r="H19" t="s">
        <v>334</v>
      </c>
    </row>
    <row r="20" spans="1:8" x14ac:dyDescent="0.35">
      <c r="A20" t="s">
        <v>107</v>
      </c>
      <c r="B20" t="s">
        <v>9</v>
      </c>
      <c r="C20" t="s">
        <v>9</v>
      </c>
      <c r="D20" t="s">
        <v>9</v>
      </c>
      <c r="E20" t="s">
        <v>335</v>
      </c>
      <c r="F20" t="s">
        <v>33</v>
      </c>
      <c r="G20" t="s">
        <v>137</v>
      </c>
      <c r="H20" t="s">
        <v>138</v>
      </c>
    </row>
    <row r="21" spans="1:8" x14ac:dyDescent="0.35">
      <c r="A21" t="s">
        <v>112</v>
      </c>
      <c r="B21" t="s">
        <v>45</v>
      </c>
      <c r="C21" t="s">
        <v>16</v>
      </c>
      <c r="D21" t="s">
        <v>274</v>
      </c>
      <c r="E21" t="s">
        <v>336</v>
      </c>
      <c r="F21" t="s">
        <v>337</v>
      </c>
      <c r="G21" t="s">
        <v>105</v>
      </c>
      <c r="H21" t="s">
        <v>338</v>
      </c>
    </row>
    <row r="22" spans="1:8" x14ac:dyDescent="0.35">
      <c r="A22" t="s">
        <v>118</v>
      </c>
      <c r="B22" t="s">
        <v>16</v>
      </c>
      <c r="C22" t="s">
        <v>9</v>
      </c>
      <c r="D22" t="s">
        <v>9</v>
      </c>
      <c r="E22" t="s">
        <v>339</v>
      </c>
      <c r="F22" t="s">
        <v>11</v>
      </c>
      <c r="G22" t="s">
        <v>57</v>
      </c>
      <c r="H22" t="s">
        <v>58</v>
      </c>
    </row>
    <row r="23" spans="1:8" x14ac:dyDescent="0.35">
      <c r="A23" t="s">
        <v>123</v>
      </c>
      <c r="B23" t="s">
        <v>98</v>
      </c>
      <c r="C23" t="s">
        <v>65</v>
      </c>
      <c r="D23" t="s">
        <v>82</v>
      </c>
      <c r="E23" t="s">
        <v>340</v>
      </c>
      <c r="F23" t="s">
        <v>16</v>
      </c>
      <c r="G23" t="s">
        <v>341</v>
      </c>
      <c r="H23" t="s">
        <v>342</v>
      </c>
    </row>
    <row r="24" spans="1:8" x14ac:dyDescent="0.35">
      <c r="A24" t="s">
        <v>128</v>
      </c>
      <c r="B24" t="s">
        <v>9</v>
      </c>
      <c r="C24" t="s">
        <v>9</v>
      </c>
      <c r="D24" t="s">
        <v>9</v>
      </c>
      <c r="E24" t="s">
        <v>343</v>
      </c>
      <c r="F24" t="s">
        <v>16</v>
      </c>
      <c r="G24" t="s">
        <v>137</v>
      </c>
      <c r="H24" t="s">
        <v>138</v>
      </c>
    </row>
    <row r="25" spans="1:8" x14ac:dyDescent="0.35">
      <c r="A25" t="s">
        <v>131</v>
      </c>
      <c r="B25" t="s">
        <v>71</v>
      </c>
      <c r="C25" t="s">
        <v>33</v>
      </c>
      <c r="D25" t="s">
        <v>39</v>
      </c>
      <c r="E25" t="s">
        <v>344</v>
      </c>
      <c r="F25" t="s">
        <v>67</v>
      </c>
      <c r="G25" t="s">
        <v>12</v>
      </c>
      <c r="H25" t="s">
        <v>345</v>
      </c>
    </row>
    <row r="26" spans="1:8" x14ac:dyDescent="0.35">
      <c r="A26" t="s">
        <v>135</v>
      </c>
      <c r="B26" t="s">
        <v>9</v>
      </c>
      <c r="C26" t="s">
        <v>9</v>
      </c>
      <c r="D26" t="s">
        <v>9</v>
      </c>
      <c r="E26" t="s">
        <v>346</v>
      </c>
      <c r="F26" t="s">
        <v>274</v>
      </c>
      <c r="G26" t="s">
        <v>137</v>
      </c>
      <c r="H26" t="s">
        <v>138</v>
      </c>
    </row>
    <row r="27" spans="1:8" x14ac:dyDescent="0.35">
      <c r="A27" t="s">
        <v>139</v>
      </c>
      <c r="B27" t="s">
        <v>9</v>
      </c>
      <c r="C27" t="s">
        <v>9</v>
      </c>
      <c r="D27" t="s">
        <v>9</v>
      </c>
      <c r="E27" t="s">
        <v>276</v>
      </c>
      <c r="F27" t="s">
        <v>274</v>
      </c>
      <c r="G27" t="s">
        <v>137</v>
      </c>
      <c r="H27" t="s">
        <v>138</v>
      </c>
    </row>
    <row r="28" spans="1:8" x14ac:dyDescent="0.35">
      <c r="A28" t="s">
        <v>143</v>
      </c>
      <c r="B28" t="s">
        <v>108</v>
      </c>
      <c r="C28" t="s">
        <v>9</v>
      </c>
      <c r="D28" t="s">
        <v>9</v>
      </c>
      <c r="E28" t="s">
        <v>347</v>
      </c>
      <c r="F28" t="s">
        <v>11</v>
      </c>
      <c r="G28" t="s">
        <v>110</v>
      </c>
      <c r="H28" t="s">
        <v>111</v>
      </c>
    </row>
    <row r="29" spans="1:8" x14ac:dyDescent="0.35">
      <c r="A29" t="s">
        <v>145</v>
      </c>
      <c r="B29" t="s">
        <v>348</v>
      </c>
      <c r="C29" t="s">
        <v>8</v>
      </c>
      <c r="D29" t="s">
        <v>65</v>
      </c>
      <c r="E29" t="s">
        <v>349</v>
      </c>
      <c r="F29" t="s">
        <v>313</v>
      </c>
      <c r="G29" t="s">
        <v>81</v>
      </c>
      <c r="H29" t="s">
        <v>350</v>
      </c>
    </row>
    <row r="30" spans="1:8" x14ac:dyDescent="0.35">
      <c r="A30" t="s">
        <v>150</v>
      </c>
      <c r="B30" t="s">
        <v>9</v>
      </c>
      <c r="C30" t="s">
        <v>9</v>
      </c>
      <c r="D30" t="s">
        <v>9</v>
      </c>
      <c r="E30" t="s">
        <v>351</v>
      </c>
      <c r="F30" t="s">
        <v>352</v>
      </c>
      <c r="G30" t="s">
        <v>137</v>
      </c>
      <c r="H30" t="s">
        <v>138</v>
      </c>
    </row>
    <row r="31" spans="1:8" x14ac:dyDescent="0.35">
      <c r="A31" t="s">
        <v>151</v>
      </c>
      <c r="B31" t="s">
        <v>180</v>
      </c>
      <c r="C31" t="s">
        <v>39</v>
      </c>
      <c r="D31" t="s">
        <v>39</v>
      </c>
      <c r="E31" t="s">
        <v>353</v>
      </c>
      <c r="F31" t="s">
        <v>11</v>
      </c>
      <c r="G31" t="s">
        <v>354</v>
      </c>
      <c r="H31" t="s">
        <v>355</v>
      </c>
    </row>
    <row r="32" spans="1:8" x14ac:dyDescent="0.35">
      <c r="A32" t="s">
        <v>155</v>
      </c>
      <c r="B32" t="s">
        <v>332</v>
      </c>
      <c r="C32" t="s">
        <v>33</v>
      </c>
      <c r="D32" t="s">
        <v>33</v>
      </c>
      <c r="E32" t="s">
        <v>356</v>
      </c>
      <c r="F32" t="s">
        <v>11</v>
      </c>
      <c r="G32" t="s">
        <v>47</v>
      </c>
      <c r="H32" t="s">
        <v>334</v>
      </c>
    </row>
    <row r="33" spans="1:8" x14ac:dyDescent="0.35">
      <c r="A33" t="s">
        <v>160</v>
      </c>
      <c r="B33" t="s">
        <v>357</v>
      </c>
      <c r="C33" t="s">
        <v>8</v>
      </c>
      <c r="D33" t="s">
        <v>65</v>
      </c>
      <c r="E33" t="s">
        <v>358</v>
      </c>
      <c r="F33" t="s">
        <v>115</v>
      </c>
      <c r="G33" t="s">
        <v>359</v>
      </c>
      <c r="H33" t="s">
        <v>360</v>
      </c>
    </row>
    <row r="34" spans="1:8" x14ac:dyDescent="0.35">
      <c r="A34" t="s">
        <v>165</v>
      </c>
      <c r="B34" t="s">
        <v>9</v>
      </c>
      <c r="C34" t="s">
        <v>9</v>
      </c>
      <c r="D34" t="s">
        <v>9</v>
      </c>
      <c r="E34" t="s">
        <v>361</v>
      </c>
      <c r="F34" t="s">
        <v>11</v>
      </c>
      <c r="G34" t="s">
        <v>137</v>
      </c>
      <c r="H34" t="s">
        <v>138</v>
      </c>
    </row>
    <row r="35" spans="1:8" x14ac:dyDescent="0.35">
      <c r="A35" t="s">
        <v>168</v>
      </c>
      <c r="B35" t="s">
        <v>169</v>
      </c>
      <c r="C35" t="s">
        <v>169</v>
      </c>
      <c r="D35" t="s">
        <v>169</v>
      </c>
      <c r="E35" t="s">
        <v>169</v>
      </c>
      <c r="F35" t="s">
        <v>169</v>
      </c>
      <c r="G35" t="s">
        <v>169</v>
      </c>
      <c r="H35" t="s">
        <v>169</v>
      </c>
    </row>
    <row r="36" spans="1:8" x14ac:dyDescent="0.35">
      <c r="A36" t="s">
        <v>170</v>
      </c>
      <c r="B36" t="s">
        <v>171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</row>
    <row r="37" spans="1:8" x14ac:dyDescent="0.35">
      <c r="A37" t="s">
        <v>172</v>
      </c>
      <c r="B37" t="s">
        <v>362</v>
      </c>
      <c r="C37" t="s">
        <v>8</v>
      </c>
      <c r="D37" t="s">
        <v>65</v>
      </c>
      <c r="E37" t="s">
        <v>363</v>
      </c>
      <c r="F37" t="s">
        <v>364</v>
      </c>
      <c r="G37" t="s">
        <v>365</v>
      </c>
      <c r="H37" t="s">
        <v>366</v>
      </c>
    </row>
    <row r="38" spans="1:8" x14ac:dyDescent="0.35">
      <c r="A38" t="s">
        <v>177</v>
      </c>
      <c r="B38" t="s">
        <v>169</v>
      </c>
      <c r="C38" t="s">
        <v>169</v>
      </c>
      <c r="D38" t="s">
        <v>169</v>
      </c>
      <c r="E38" t="s">
        <v>169</v>
      </c>
      <c r="F38" t="s">
        <v>169</v>
      </c>
      <c r="G38" t="s">
        <v>169</v>
      </c>
      <c r="H38" t="s">
        <v>169</v>
      </c>
    </row>
    <row r="39" spans="1:8" x14ac:dyDescent="0.35">
      <c r="A39" t="s">
        <v>178</v>
      </c>
      <c r="B39" t="s">
        <v>171</v>
      </c>
      <c r="C39" t="s">
        <v>171</v>
      </c>
      <c r="D39" t="s">
        <v>171</v>
      </c>
      <c r="E39" t="s">
        <v>171</v>
      </c>
      <c r="F39" t="s">
        <v>171</v>
      </c>
      <c r="G39" t="s">
        <v>171</v>
      </c>
      <c r="H39" t="s">
        <v>171</v>
      </c>
    </row>
    <row r="40" spans="1:8" x14ac:dyDescent="0.35">
      <c r="A40" t="s">
        <v>179</v>
      </c>
      <c r="B40" t="s">
        <v>24</v>
      </c>
      <c r="C40" t="s">
        <v>314</v>
      </c>
      <c r="D40" t="s">
        <v>367</v>
      </c>
      <c r="E40" t="s">
        <v>280</v>
      </c>
      <c r="F40" t="s">
        <v>126</v>
      </c>
      <c r="G40" t="s">
        <v>133</v>
      </c>
      <c r="H40" t="s">
        <v>368</v>
      </c>
    </row>
    <row r="41" spans="1:8" x14ac:dyDescent="0.35">
      <c r="A41" t="s">
        <v>184</v>
      </c>
      <c r="B41" t="s">
        <v>280</v>
      </c>
      <c r="C41" t="s">
        <v>173</v>
      </c>
      <c r="D41" t="s">
        <v>41</v>
      </c>
      <c r="E41" t="s">
        <v>369</v>
      </c>
      <c r="F41" t="s">
        <v>33</v>
      </c>
      <c r="G41" t="s">
        <v>370</v>
      </c>
      <c r="H41" t="s">
        <v>371</v>
      </c>
    </row>
    <row r="42" spans="1:8" x14ac:dyDescent="0.35">
      <c r="A42" t="s">
        <v>189</v>
      </c>
      <c r="B42" t="s">
        <v>372</v>
      </c>
      <c r="C42" t="s">
        <v>373</v>
      </c>
      <c r="D42" t="s">
        <v>374</v>
      </c>
      <c r="E42" t="s">
        <v>375</v>
      </c>
      <c r="F42" t="s">
        <v>88</v>
      </c>
      <c r="G42" t="s">
        <v>15</v>
      </c>
      <c r="H42" t="s">
        <v>376</v>
      </c>
    </row>
    <row r="43" spans="1:8" x14ac:dyDescent="0.35">
      <c r="A43" t="s">
        <v>193</v>
      </c>
      <c r="B43" t="s">
        <v>377</v>
      </c>
      <c r="C43" t="s">
        <v>378</v>
      </c>
      <c r="D43" t="s">
        <v>357</v>
      </c>
      <c r="E43" t="s">
        <v>185</v>
      </c>
      <c r="F43" t="s">
        <v>280</v>
      </c>
      <c r="G43" t="s">
        <v>379</v>
      </c>
      <c r="H43" t="s">
        <v>380</v>
      </c>
    </row>
    <row r="44" spans="1:8" x14ac:dyDescent="0.35">
      <c r="A44" t="s">
        <v>197</v>
      </c>
      <c r="B44" t="s">
        <v>41</v>
      </c>
      <c r="C44" t="s">
        <v>71</v>
      </c>
      <c r="D44" t="s">
        <v>119</v>
      </c>
      <c r="E44" t="s">
        <v>381</v>
      </c>
      <c r="F44" t="s">
        <v>113</v>
      </c>
      <c r="G44" t="s">
        <v>317</v>
      </c>
      <c r="H44" t="s">
        <v>382</v>
      </c>
    </row>
    <row r="45" spans="1:8" x14ac:dyDescent="0.35">
      <c r="A45" t="s">
        <v>202</v>
      </c>
      <c r="B45" t="s">
        <v>383</v>
      </c>
      <c r="C45" t="s">
        <v>71</v>
      </c>
      <c r="D45" t="s">
        <v>119</v>
      </c>
      <c r="E45" t="s">
        <v>384</v>
      </c>
      <c r="F45" t="s">
        <v>385</v>
      </c>
      <c r="G45" t="s">
        <v>386</v>
      </c>
      <c r="H45" t="s">
        <v>387</v>
      </c>
    </row>
    <row r="46" spans="1:8" x14ac:dyDescent="0.35">
      <c r="A46" t="s">
        <v>207</v>
      </c>
      <c r="B46" t="s">
        <v>33</v>
      </c>
      <c r="C46" t="s">
        <v>8</v>
      </c>
      <c r="D46" t="s">
        <v>65</v>
      </c>
      <c r="E46" t="s">
        <v>367</v>
      </c>
      <c r="F46" t="s">
        <v>388</v>
      </c>
      <c r="G46" t="s">
        <v>141</v>
      </c>
      <c r="H46" t="s">
        <v>389</v>
      </c>
    </row>
    <row r="47" spans="1:8" x14ac:dyDescent="0.35">
      <c r="A47" t="s">
        <v>212</v>
      </c>
      <c r="B47" t="s">
        <v>367</v>
      </c>
      <c r="C47" t="s">
        <v>71</v>
      </c>
      <c r="D47" t="s">
        <v>82</v>
      </c>
      <c r="E47" t="s">
        <v>390</v>
      </c>
      <c r="F47" t="s">
        <v>180</v>
      </c>
      <c r="G47" t="s">
        <v>391</v>
      </c>
      <c r="H47" t="s">
        <v>392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workbookViewId="0">
      <selection activeCell="A45" sqref="A45:XFD46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6</v>
      </c>
    </row>
    <row r="2" spans="1:8" x14ac:dyDescent="0.35">
      <c r="A2" t="s">
        <v>7</v>
      </c>
      <c r="B2" t="s">
        <v>274</v>
      </c>
      <c r="C2" t="s">
        <v>9</v>
      </c>
      <c r="D2" t="s">
        <v>33</v>
      </c>
      <c r="E2" t="s">
        <v>393</v>
      </c>
      <c r="F2" t="s">
        <v>11</v>
      </c>
      <c r="G2" t="s">
        <v>61</v>
      </c>
      <c r="H2" t="s">
        <v>394</v>
      </c>
    </row>
    <row r="3" spans="1:8" x14ac:dyDescent="0.35">
      <c r="A3" t="s">
        <v>14</v>
      </c>
      <c r="B3" t="s">
        <v>395</v>
      </c>
      <c r="C3" t="s">
        <v>65</v>
      </c>
      <c r="D3" t="s">
        <v>82</v>
      </c>
      <c r="E3" t="s">
        <v>396</v>
      </c>
      <c r="F3" t="s">
        <v>11</v>
      </c>
      <c r="G3" t="s">
        <v>397</v>
      </c>
      <c r="H3" t="s">
        <v>398</v>
      </c>
    </row>
    <row r="4" spans="1:8" x14ac:dyDescent="0.35">
      <c r="A4" t="s">
        <v>26</v>
      </c>
      <c r="B4" t="s">
        <v>399</v>
      </c>
      <c r="C4" t="s">
        <v>400</v>
      </c>
      <c r="D4" t="s">
        <v>401</v>
      </c>
      <c r="E4" t="s">
        <v>402</v>
      </c>
      <c r="F4" t="s">
        <v>403</v>
      </c>
      <c r="G4" t="s">
        <v>404</v>
      </c>
      <c r="H4" t="s">
        <v>405</v>
      </c>
    </row>
    <row r="5" spans="1:8" x14ac:dyDescent="0.35">
      <c r="A5" t="s">
        <v>37</v>
      </c>
      <c r="B5" t="s">
        <v>406</v>
      </c>
      <c r="C5" t="s">
        <v>320</v>
      </c>
      <c r="D5" t="s">
        <v>100</v>
      </c>
      <c r="E5" t="s">
        <v>407</v>
      </c>
      <c r="F5" t="s">
        <v>330</v>
      </c>
      <c r="G5" t="s">
        <v>408</v>
      </c>
      <c r="H5" t="s">
        <v>409</v>
      </c>
    </row>
    <row r="6" spans="1:8" x14ac:dyDescent="0.35">
      <c r="A6" t="s">
        <v>44</v>
      </c>
      <c r="B6" t="s">
        <v>384</v>
      </c>
      <c r="C6" t="s">
        <v>41</v>
      </c>
      <c r="D6" t="s">
        <v>41</v>
      </c>
      <c r="E6" t="s">
        <v>410</v>
      </c>
      <c r="F6" t="s">
        <v>364</v>
      </c>
      <c r="G6" t="s">
        <v>15</v>
      </c>
      <c r="H6" t="s">
        <v>411</v>
      </c>
    </row>
    <row r="7" spans="1:8" x14ac:dyDescent="0.35">
      <c r="A7" t="s">
        <v>49</v>
      </c>
      <c r="B7" t="s">
        <v>412</v>
      </c>
      <c r="C7" t="s">
        <v>403</v>
      </c>
      <c r="D7" t="s">
        <v>158</v>
      </c>
      <c r="E7" t="s">
        <v>413</v>
      </c>
      <c r="F7" t="s">
        <v>314</v>
      </c>
      <c r="G7" t="s">
        <v>203</v>
      </c>
      <c r="H7" t="s">
        <v>414</v>
      </c>
    </row>
    <row r="8" spans="1:8" x14ac:dyDescent="0.35">
      <c r="A8" t="s">
        <v>55</v>
      </c>
      <c r="B8" t="s">
        <v>384</v>
      </c>
      <c r="C8" t="s">
        <v>41</v>
      </c>
      <c r="D8" t="s">
        <v>41</v>
      </c>
      <c r="E8" t="s">
        <v>415</v>
      </c>
      <c r="F8" t="s">
        <v>32</v>
      </c>
      <c r="G8" t="s">
        <v>185</v>
      </c>
      <c r="H8" t="s">
        <v>416</v>
      </c>
    </row>
    <row r="9" spans="1:8" x14ac:dyDescent="0.35">
      <c r="A9" t="s">
        <v>59</v>
      </c>
      <c r="B9" t="s">
        <v>332</v>
      </c>
      <c r="C9" t="s">
        <v>367</v>
      </c>
      <c r="D9" t="s">
        <v>51</v>
      </c>
      <c r="E9" t="s">
        <v>402</v>
      </c>
      <c r="F9" t="s">
        <v>403</v>
      </c>
      <c r="G9" t="s">
        <v>47</v>
      </c>
      <c r="H9" t="s">
        <v>417</v>
      </c>
    </row>
    <row r="10" spans="1:8" x14ac:dyDescent="0.35">
      <c r="A10" t="s">
        <v>63</v>
      </c>
      <c r="B10" t="s">
        <v>418</v>
      </c>
      <c r="C10" t="s">
        <v>303</v>
      </c>
      <c r="D10" t="s">
        <v>100</v>
      </c>
      <c r="E10" t="s">
        <v>374</v>
      </c>
      <c r="F10" t="s">
        <v>419</v>
      </c>
      <c r="G10" t="s">
        <v>50</v>
      </c>
      <c r="H10" t="s">
        <v>420</v>
      </c>
    </row>
    <row r="11" spans="1:8" x14ac:dyDescent="0.35">
      <c r="A11" t="s">
        <v>70</v>
      </c>
      <c r="B11" t="s">
        <v>372</v>
      </c>
      <c r="C11" t="s">
        <v>41</v>
      </c>
      <c r="D11" t="s">
        <v>367</v>
      </c>
      <c r="E11" t="s">
        <v>421</v>
      </c>
      <c r="F11" t="s">
        <v>364</v>
      </c>
      <c r="G11" t="s">
        <v>408</v>
      </c>
      <c r="H11" t="s">
        <v>422</v>
      </c>
    </row>
    <row r="12" spans="1:8" x14ac:dyDescent="0.35">
      <c r="A12" t="s">
        <v>75</v>
      </c>
      <c r="B12" t="s">
        <v>364</v>
      </c>
      <c r="C12" t="s">
        <v>303</v>
      </c>
      <c r="D12" t="s">
        <v>100</v>
      </c>
      <c r="E12" t="s">
        <v>423</v>
      </c>
      <c r="F12" t="s">
        <v>424</v>
      </c>
      <c r="G12" t="s">
        <v>425</v>
      </c>
      <c r="H12" t="s">
        <v>426</v>
      </c>
    </row>
    <row r="13" spans="1:8" x14ac:dyDescent="0.35">
      <c r="A13" t="s">
        <v>80</v>
      </c>
      <c r="B13" t="s">
        <v>427</v>
      </c>
      <c r="C13" t="s">
        <v>185</v>
      </c>
      <c r="D13" t="s">
        <v>110</v>
      </c>
      <c r="E13" t="s">
        <v>427</v>
      </c>
      <c r="F13" t="s">
        <v>88</v>
      </c>
      <c r="G13" t="s">
        <v>302</v>
      </c>
      <c r="H13" t="s">
        <v>428</v>
      </c>
    </row>
    <row r="14" spans="1:8" x14ac:dyDescent="0.35">
      <c r="A14" t="s">
        <v>86</v>
      </c>
      <c r="B14" t="s">
        <v>429</v>
      </c>
      <c r="C14" t="s">
        <v>391</v>
      </c>
      <c r="D14" t="s">
        <v>425</v>
      </c>
      <c r="E14" t="s">
        <v>27</v>
      </c>
      <c r="F14" t="s">
        <v>367</v>
      </c>
      <c r="G14" t="s">
        <v>367</v>
      </c>
      <c r="H14" t="s">
        <v>430</v>
      </c>
    </row>
    <row r="15" spans="1:8" x14ac:dyDescent="0.35">
      <c r="A15" t="s">
        <v>92</v>
      </c>
      <c r="B15" t="s">
        <v>431</v>
      </c>
      <c r="C15" t="s">
        <v>367</v>
      </c>
      <c r="D15" t="s">
        <v>51</v>
      </c>
      <c r="E15" t="s">
        <v>432</v>
      </c>
      <c r="F15" t="s">
        <v>115</v>
      </c>
      <c r="G15" t="s">
        <v>433</v>
      </c>
      <c r="H15" t="s">
        <v>434</v>
      </c>
    </row>
    <row r="16" spans="1:8" x14ac:dyDescent="0.35">
      <c r="A16" t="s">
        <v>97</v>
      </c>
      <c r="B16" t="s">
        <v>156</v>
      </c>
      <c r="C16" t="s">
        <v>76</v>
      </c>
      <c r="D16" t="s">
        <v>180</v>
      </c>
      <c r="E16" t="s">
        <v>435</v>
      </c>
      <c r="F16" t="s">
        <v>285</v>
      </c>
      <c r="G16" t="s">
        <v>158</v>
      </c>
      <c r="H16" t="s">
        <v>436</v>
      </c>
    </row>
    <row r="17" spans="1:8" x14ac:dyDescent="0.35">
      <c r="A17" t="s">
        <v>102</v>
      </c>
      <c r="B17" t="s">
        <v>8</v>
      </c>
      <c r="C17" t="s">
        <v>274</v>
      </c>
      <c r="D17" t="s">
        <v>274</v>
      </c>
      <c r="E17" t="s">
        <v>437</v>
      </c>
      <c r="F17" t="s">
        <v>51</v>
      </c>
      <c r="G17" t="s">
        <v>133</v>
      </c>
      <c r="H17" t="s">
        <v>438</v>
      </c>
    </row>
    <row r="18" spans="1:8" x14ac:dyDescent="0.35">
      <c r="A18" t="s">
        <v>107</v>
      </c>
      <c r="B18" t="s">
        <v>9</v>
      </c>
      <c r="C18" t="s">
        <v>9</v>
      </c>
      <c r="D18" t="s">
        <v>9</v>
      </c>
      <c r="E18" t="s">
        <v>439</v>
      </c>
      <c r="F18" t="s">
        <v>115</v>
      </c>
      <c r="G18" t="s">
        <v>137</v>
      </c>
      <c r="H18" t="s">
        <v>440</v>
      </c>
    </row>
    <row r="19" spans="1:8" x14ac:dyDescent="0.35">
      <c r="A19" t="s">
        <v>112</v>
      </c>
      <c r="B19" t="s">
        <v>103</v>
      </c>
      <c r="C19" t="s">
        <v>16</v>
      </c>
      <c r="D19" t="s">
        <v>274</v>
      </c>
      <c r="E19" t="s">
        <v>441</v>
      </c>
      <c r="F19" t="s">
        <v>76</v>
      </c>
      <c r="G19" t="s">
        <v>442</v>
      </c>
      <c r="H19" t="s">
        <v>443</v>
      </c>
    </row>
    <row r="20" spans="1:8" x14ac:dyDescent="0.35">
      <c r="A20" t="s">
        <v>118</v>
      </c>
      <c r="B20" t="s">
        <v>39</v>
      </c>
      <c r="C20" t="s">
        <v>9</v>
      </c>
      <c r="D20" t="s">
        <v>9</v>
      </c>
      <c r="E20" t="s">
        <v>444</v>
      </c>
      <c r="F20" t="s">
        <v>11</v>
      </c>
      <c r="G20" t="s">
        <v>445</v>
      </c>
      <c r="H20" t="s">
        <v>446</v>
      </c>
    </row>
    <row r="21" spans="1:8" x14ac:dyDescent="0.35">
      <c r="A21" t="s">
        <v>123</v>
      </c>
      <c r="B21" t="s">
        <v>447</v>
      </c>
      <c r="C21" t="s">
        <v>119</v>
      </c>
      <c r="D21" t="s">
        <v>76</v>
      </c>
      <c r="E21" t="s">
        <v>448</v>
      </c>
      <c r="F21" t="s">
        <v>314</v>
      </c>
      <c r="G21" t="s">
        <v>388</v>
      </c>
      <c r="H21" t="s">
        <v>449</v>
      </c>
    </row>
    <row r="22" spans="1:8" x14ac:dyDescent="0.35">
      <c r="A22" t="s">
        <v>128</v>
      </c>
      <c r="B22" t="s">
        <v>9</v>
      </c>
      <c r="C22" t="s">
        <v>9</v>
      </c>
      <c r="D22" t="s">
        <v>9</v>
      </c>
      <c r="E22" t="s">
        <v>450</v>
      </c>
      <c r="F22" t="s">
        <v>16</v>
      </c>
      <c r="G22" t="s">
        <v>137</v>
      </c>
      <c r="H22" t="s">
        <v>440</v>
      </c>
    </row>
    <row r="23" spans="1:8" x14ac:dyDescent="0.35">
      <c r="A23" t="s">
        <v>131</v>
      </c>
      <c r="B23" t="s">
        <v>39</v>
      </c>
      <c r="C23" t="s">
        <v>39</v>
      </c>
      <c r="D23" t="s">
        <v>39</v>
      </c>
      <c r="E23" t="s">
        <v>68</v>
      </c>
      <c r="F23" t="s">
        <v>323</v>
      </c>
      <c r="G23" t="s">
        <v>445</v>
      </c>
      <c r="H23" t="s">
        <v>451</v>
      </c>
    </row>
    <row r="24" spans="1:8" x14ac:dyDescent="0.35">
      <c r="A24" t="s">
        <v>135</v>
      </c>
      <c r="B24" t="s">
        <v>9</v>
      </c>
      <c r="C24" t="s">
        <v>9</v>
      </c>
      <c r="D24" t="s">
        <v>9</v>
      </c>
      <c r="E24" t="s">
        <v>452</v>
      </c>
      <c r="F24" t="s">
        <v>11</v>
      </c>
      <c r="G24" t="s">
        <v>137</v>
      </c>
      <c r="H24" t="s">
        <v>440</v>
      </c>
    </row>
    <row r="25" spans="1:8" x14ac:dyDescent="0.35">
      <c r="A25" t="s">
        <v>139</v>
      </c>
      <c r="B25" t="s">
        <v>9</v>
      </c>
      <c r="C25" t="s">
        <v>9</v>
      </c>
      <c r="D25" t="s">
        <v>9</v>
      </c>
      <c r="E25" t="s">
        <v>113</v>
      </c>
      <c r="F25" t="s">
        <v>453</v>
      </c>
      <c r="G25" t="s">
        <v>137</v>
      </c>
      <c r="H25" t="s">
        <v>440</v>
      </c>
    </row>
    <row r="26" spans="1:8" x14ac:dyDescent="0.35">
      <c r="A26" t="s">
        <v>143</v>
      </c>
      <c r="B26" t="s">
        <v>9</v>
      </c>
      <c r="C26" t="s">
        <v>9</v>
      </c>
      <c r="D26" t="s">
        <v>9</v>
      </c>
      <c r="E26" t="s">
        <v>454</v>
      </c>
      <c r="F26" t="s">
        <v>373</v>
      </c>
      <c r="G26" t="s">
        <v>137</v>
      </c>
      <c r="H26" t="s">
        <v>440</v>
      </c>
    </row>
    <row r="27" spans="1:8" x14ac:dyDescent="0.35">
      <c r="A27" t="s">
        <v>145</v>
      </c>
      <c r="B27" t="s">
        <v>119</v>
      </c>
      <c r="C27" t="s">
        <v>400</v>
      </c>
      <c r="D27" t="s">
        <v>401</v>
      </c>
      <c r="E27" t="s">
        <v>274</v>
      </c>
      <c r="F27" t="s">
        <v>455</v>
      </c>
      <c r="G27" t="s">
        <v>412</v>
      </c>
      <c r="H27" t="s">
        <v>456</v>
      </c>
    </row>
    <row r="28" spans="1:8" x14ac:dyDescent="0.35">
      <c r="A28" t="s">
        <v>150</v>
      </c>
      <c r="B28" t="s">
        <v>9</v>
      </c>
      <c r="C28" t="s">
        <v>9</v>
      </c>
      <c r="D28" t="s">
        <v>9</v>
      </c>
      <c r="E28" t="s">
        <v>45</v>
      </c>
      <c r="F28" t="s">
        <v>294</v>
      </c>
      <c r="G28" t="s">
        <v>137</v>
      </c>
      <c r="H28" t="s">
        <v>440</v>
      </c>
    </row>
    <row r="29" spans="1:8" x14ac:dyDescent="0.35">
      <c r="A29" t="s">
        <v>151</v>
      </c>
      <c r="B29" t="s">
        <v>33</v>
      </c>
      <c r="C29" t="s">
        <v>39</v>
      </c>
      <c r="D29" t="s">
        <v>39</v>
      </c>
      <c r="E29" t="s">
        <v>95</v>
      </c>
      <c r="F29" t="s">
        <v>148</v>
      </c>
      <c r="G29" t="s">
        <v>141</v>
      </c>
      <c r="H29" t="s">
        <v>457</v>
      </c>
    </row>
    <row r="30" spans="1:8" x14ac:dyDescent="0.35">
      <c r="A30" t="s">
        <v>155</v>
      </c>
      <c r="B30" t="s">
        <v>458</v>
      </c>
      <c r="C30" t="s">
        <v>33</v>
      </c>
      <c r="D30" t="s">
        <v>39</v>
      </c>
      <c r="E30" t="s">
        <v>459</v>
      </c>
      <c r="F30" t="s">
        <v>39</v>
      </c>
      <c r="G30" t="s">
        <v>460</v>
      </c>
      <c r="H30" t="s">
        <v>461</v>
      </c>
    </row>
    <row r="31" spans="1:8" x14ac:dyDescent="0.35">
      <c r="A31" t="s">
        <v>160</v>
      </c>
      <c r="B31" t="s">
        <v>383</v>
      </c>
      <c r="C31" t="s">
        <v>400</v>
      </c>
      <c r="D31" t="s">
        <v>401</v>
      </c>
      <c r="E31" t="s">
        <v>108</v>
      </c>
      <c r="F31" t="s">
        <v>110</v>
      </c>
      <c r="G31" t="s">
        <v>386</v>
      </c>
      <c r="H31" t="s">
        <v>462</v>
      </c>
    </row>
    <row r="32" spans="1:8" x14ac:dyDescent="0.35">
      <c r="A32" t="s">
        <v>168</v>
      </c>
      <c r="B32" t="s">
        <v>169</v>
      </c>
      <c r="C32" t="s">
        <v>169</v>
      </c>
      <c r="D32" t="s">
        <v>169</v>
      </c>
      <c r="E32" t="s">
        <v>169</v>
      </c>
      <c r="F32" t="s">
        <v>169</v>
      </c>
      <c r="G32" t="s">
        <v>169</v>
      </c>
      <c r="H32" t="s">
        <v>169</v>
      </c>
    </row>
    <row r="33" spans="1:8" x14ac:dyDescent="0.35">
      <c r="A33" t="s">
        <v>170</v>
      </c>
      <c r="B33" t="s">
        <v>171</v>
      </c>
      <c r="C33" t="s">
        <v>171</v>
      </c>
      <c r="D33" t="s">
        <v>171</v>
      </c>
      <c r="E33" t="s">
        <v>171</v>
      </c>
      <c r="F33" t="s">
        <v>171</v>
      </c>
      <c r="G33" t="s">
        <v>171</v>
      </c>
      <c r="H33" t="s">
        <v>171</v>
      </c>
    </row>
    <row r="34" spans="1:8" x14ac:dyDescent="0.35">
      <c r="A34" t="s">
        <v>172</v>
      </c>
      <c r="B34" t="s">
        <v>113</v>
      </c>
      <c r="C34" t="s">
        <v>65</v>
      </c>
      <c r="D34" t="s">
        <v>113</v>
      </c>
      <c r="E34" t="s">
        <v>445</v>
      </c>
      <c r="F34" t="s">
        <v>32</v>
      </c>
      <c r="G34" t="s">
        <v>116</v>
      </c>
      <c r="H34" t="s">
        <v>463</v>
      </c>
    </row>
    <row r="35" spans="1:8" x14ac:dyDescent="0.35">
      <c r="A35" t="s">
        <v>177</v>
      </c>
      <c r="B35" t="s">
        <v>169</v>
      </c>
      <c r="C35" t="s">
        <v>169</v>
      </c>
      <c r="D35" t="s">
        <v>169</v>
      </c>
      <c r="E35" t="s">
        <v>169</v>
      </c>
      <c r="F35" t="s">
        <v>169</v>
      </c>
      <c r="G35" t="s">
        <v>169</v>
      </c>
      <c r="H35" t="s">
        <v>169</v>
      </c>
    </row>
    <row r="36" spans="1:8" x14ac:dyDescent="0.35">
      <c r="A36" t="s">
        <v>178</v>
      </c>
      <c r="B36" t="s">
        <v>171</v>
      </c>
      <c r="C36" t="s">
        <v>171</v>
      </c>
      <c r="D36" t="s">
        <v>171</v>
      </c>
      <c r="E36" t="s">
        <v>171</v>
      </c>
      <c r="F36" t="s">
        <v>171</v>
      </c>
      <c r="G36" t="s">
        <v>171</v>
      </c>
      <c r="H36" t="s">
        <v>171</v>
      </c>
    </row>
    <row r="37" spans="1:8" x14ac:dyDescent="0.35">
      <c r="A37" t="s">
        <v>179</v>
      </c>
      <c r="B37" t="s">
        <v>464</v>
      </c>
      <c r="C37" t="s">
        <v>374</v>
      </c>
      <c r="D37" t="s">
        <v>51</v>
      </c>
      <c r="E37" t="s">
        <v>465</v>
      </c>
      <c r="F37" t="s">
        <v>41</v>
      </c>
      <c r="G37" t="s">
        <v>100</v>
      </c>
      <c r="H37" t="s">
        <v>466</v>
      </c>
    </row>
    <row r="38" spans="1:8" x14ac:dyDescent="0.35">
      <c r="A38" t="s">
        <v>184</v>
      </c>
      <c r="B38" t="s">
        <v>24</v>
      </c>
      <c r="C38" t="s">
        <v>296</v>
      </c>
      <c r="D38" t="s">
        <v>41</v>
      </c>
      <c r="E38" t="s">
        <v>95</v>
      </c>
      <c r="F38" t="s">
        <v>273</v>
      </c>
      <c r="G38" t="s">
        <v>133</v>
      </c>
      <c r="H38" t="s">
        <v>467</v>
      </c>
    </row>
    <row r="39" spans="1:8" x14ac:dyDescent="0.35">
      <c r="A39" t="s">
        <v>189</v>
      </c>
      <c r="B39" t="s">
        <v>372</v>
      </c>
      <c r="C39" t="s">
        <v>468</v>
      </c>
      <c r="D39" t="s">
        <v>357</v>
      </c>
      <c r="E39" t="s">
        <v>399</v>
      </c>
      <c r="F39" t="s">
        <v>316</v>
      </c>
      <c r="G39" t="s">
        <v>408</v>
      </c>
      <c r="H39" t="s">
        <v>469</v>
      </c>
    </row>
    <row r="40" spans="1:8" x14ac:dyDescent="0.35">
      <c r="A40" t="s">
        <v>193</v>
      </c>
      <c r="B40" t="s">
        <v>45</v>
      </c>
      <c r="C40" t="s">
        <v>373</v>
      </c>
      <c r="D40" t="s">
        <v>468</v>
      </c>
      <c r="E40" t="s">
        <v>464</v>
      </c>
      <c r="F40" t="s">
        <v>470</v>
      </c>
      <c r="G40" t="s">
        <v>105</v>
      </c>
      <c r="H40" t="s">
        <v>471</v>
      </c>
    </row>
    <row r="41" spans="1:8" x14ac:dyDescent="0.35">
      <c r="A41" t="s">
        <v>197</v>
      </c>
      <c r="B41" t="s">
        <v>472</v>
      </c>
      <c r="C41" t="s">
        <v>82</v>
      </c>
      <c r="D41" t="s">
        <v>76</v>
      </c>
      <c r="E41" t="s">
        <v>473</v>
      </c>
      <c r="F41" t="s">
        <v>68</v>
      </c>
      <c r="G41" t="s">
        <v>455</v>
      </c>
      <c r="H41" t="s">
        <v>474</v>
      </c>
    </row>
    <row r="42" spans="1:8" x14ac:dyDescent="0.35">
      <c r="A42" t="s">
        <v>202</v>
      </c>
      <c r="B42" t="s">
        <v>113</v>
      </c>
      <c r="C42" t="s">
        <v>65</v>
      </c>
      <c r="D42" t="s">
        <v>119</v>
      </c>
      <c r="E42" t="s">
        <v>379</v>
      </c>
      <c r="F42" t="s">
        <v>296</v>
      </c>
      <c r="G42" t="s">
        <v>116</v>
      </c>
      <c r="H42" t="s">
        <v>475</v>
      </c>
    </row>
    <row r="43" spans="1:8" x14ac:dyDescent="0.35">
      <c r="A43" t="s">
        <v>207</v>
      </c>
      <c r="B43" t="s">
        <v>65</v>
      </c>
      <c r="C43" t="s">
        <v>65</v>
      </c>
      <c r="D43" t="s">
        <v>82</v>
      </c>
      <c r="E43" t="s">
        <v>385</v>
      </c>
      <c r="F43" t="s">
        <v>476</v>
      </c>
      <c r="G43" t="s">
        <v>412</v>
      </c>
      <c r="H43" t="s">
        <v>477</v>
      </c>
    </row>
    <row r="44" spans="1:8" x14ac:dyDescent="0.35">
      <c r="A44" t="s">
        <v>212</v>
      </c>
      <c r="B44" t="s">
        <v>406</v>
      </c>
      <c r="C44" t="s">
        <v>65</v>
      </c>
      <c r="D44" t="s">
        <v>82</v>
      </c>
      <c r="E44" t="s">
        <v>478</v>
      </c>
      <c r="F44" t="s">
        <v>337</v>
      </c>
      <c r="G44" t="s">
        <v>408</v>
      </c>
      <c r="H44" t="s">
        <v>479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workbookViewId="0">
      <selection activeCell="A5" activeCellId="1" sqref="A3:I3 A5:I5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265</v>
      </c>
      <c r="C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6</v>
      </c>
    </row>
    <row r="2" spans="1:8" x14ac:dyDescent="0.35">
      <c r="A2" t="s">
        <v>7</v>
      </c>
      <c r="B2" t="s">
        <v>274</v>
      </c>
      <c r="C2" t="s">
        <v>9</v>
      </c>
      <c r="D2" t="s">
        <v>33</v>
      </c>
      <c r="E2" t="s">
        <v>480</v>
      </c>
      <c r="F2" t="s">
        <v>11</v>
      </c>
      <c r="G2" t="s">
        <v>481</v>
      </c>
      <c r="H2" t="s">
        <v>482</v>
      </c>
    </row>
    <row r="3" spans="1:8" x14ac:dyDescent="0.35">
      <c r="A3" t="s">
        <v>20</v>
      </c>
      <c r="B3" t="s">
        <v>76</v>
      </c>
      <c r="C3" t="s">
        <v>483</v>
      </c>
      <c r="D3" t="s">
        <v>484</v>
      </c>
      <c r="E3" t="s">
        <v>274</v>
      </c>
      <c r="F3" t="s">
        <v>455</v>
      </c>
      <c r="G3" t="s">
        <v>78</v>
      </c>
      <c r="H3" t="s">
        <v>485</v>
      </c>
    </row>
    <row r="4" spans="1:8" x14ac:dyDescent="0.35">
      <c r="A4" t="s">
        <v>26</v>
      </c>
      <c r="B4" t="s">
        <v>486</v>
      </c>
      <c r="C4" t="s">
        <v>400</v>
      </c>
      <c r="D4" t="s">
        <v>487</v>
      </c>
      <c r="E4" t="s">
        <v>488</v>
      </c>
      <c r="F4" t="s">
        <v>489</v>
      </c>
      <c r="G4" t="s">
        <v>161</v>
      </c>
      <c r="H4" t="s">
        <v>490</v>
      </c>
    </row>
    <row r="5" spans="1:8" x14ac:dyDescent="0.35">
      <c r="A5" t="s">
        <v>31</v>
      </c>
      <c r="B5" t="s">
        <v>51</v>
      </c>
      <c r="C5" t="s">
        <v>38</v>
      </c>
      <c r="D5" t="s">
        <v>38</v>
      </c>
      <c r="E5" t="s">
        <v>491</v>
      </c>
      <c r="F5" t="s">
        <v>11</v>
      </c>
      <c r="G5" t="s">
        <v>492</v>
      </c>
      <c r="H5" t="s">
        <v>493</v>
      </c>
    </row>
    <row r="6" spans="1:8" x14ac:dyDescent="0.35">
      <c r="A6" t="s">
        <v>37</v>
      </c>
      <c r="B6" t="s">
        <v>372</v>
      </c>
      <c r="C6" t="s">
        <v>320</v>
      </c>
      <c r="D6" t="s">
        <v>100</v>
      </c>
      <c r="E6" t="s">
        <v>494</v>
      </c>
      <c r="F6" t="s">
        <v>321</v>
      </c>
      <c r="G6" t="s">
        <v>15</v>
      </c>
      <c r="H6" t="s">
        <v>495</v>
      </c>
    </row>
    <row r="7" spans="1:8" x14ac:dyDescent="0.35">
      <c r="A7" t="s">
        <v>44</v>
      </c>
      <c r="B7" t="s">
        <v>384</v>
      </c>
      <c r="C7" t="s">
        <v>41</v>
      </c>
      <c r="D7" t="s">
        <v>41</v>
      </c>
      <c r="E7" t="s">
        <v>496</v>
      </c>
      <c r="F7" t="s">
        <v>497</v>
      </c>
      <c r="G7" t="s">
        <v>15</v>
      </c>
      <c r="H7" t="s">
        <v>411</v>
      </c>
    </row>
    <row r="8" spans="1:8" x14ac:dyDescent="0.35">
      <c r="A8" t="s">
        <v>49</v>
      </c>
      <c r="B8" t="s">
        <v>73</v>
      </c>
      <c r="C8" t="s">
        <v>403</v>
      </c>
      <c r="D8" t="s">
        <v>158</v>
      </c>
      <c r="E8" t="s">
        <v>413</v>
      </c>
      <c r="F8" t="s">
        <v>314</v>
      </c>
      <c r="G8" t="s">
        <v>498</v>
      </c>
      <c r="H8" t="s">
        <v>499</v>
      </c>
    </row>
    <row r="9" spans="1:8" x14ac:dyDescent="0.35">
      <c r="A9" t="s">
        <v>55</v>
      </c>
      <c r="B9" t="s">
        <v>500</v>
      </c>
      <c r="C9" t="s">
        <v>41</v>
      </c>
      <c r="D9" t="s">
        <v>41</v>
      </c>
      <c r="E9" t="s">
        <v>501</v>
      </c>
      <c r="F9" t="s">
        <v>502</v>
      </c>
      <c r="G9" t="s">
        <v>185</v>
      </c>
      <c r="H9" t="s">
        <v>416</v>
      </c>
    </row>
    <row r="10" spans="1:8" x14ac:dyDescent="0.35">
      <c r="A10" t="s">
        <v>59</v>
      </c>
      <c r="B10" t="s">
        <v>332</v>
      </c>
      <c r="C10" t="s">
        <v>367</v>
      </c>
      <c r="D10" t="s">
        <v>51</v>
      </c>
      <c r="E10" t="s">
        <v>488</v>
      </c>
      <c r="F10" t="s">
        <v>489</v>
      </c>
      <c r="G10" t="s">
        <v>47</v>
      </c>
      <c r="H10" t="s">
        <v>417</v>
      </c>
    </row>
    <row r="11" spans="1:8" x14ac:dyDescent="0.35">
      <c r="A11" t="s">
        <v>63</v>
      </c>
      <c r="B11" t="s">
        <v>51</v>
      </c>
      <c r="C11" t="s">
        <v>303</v>
      </c>
      <c r="D11" t="s">
        <v>100</v>
      </c>
      <c r="E11" t="s">
        <v>314</v>
      </c>
      <c r="F11" t="s">
        <v>330</v>
      </c>
      <c r="G11" t="s">
        <v>503</v>
      </c>
      <c r="H11" t="s">
        <v>504</v>
      </c>
    </row>
    <row r="12" spans="1:8" x14ac:dyDescent="0.35">
      <c r="A12" t="s">
        <v>70</v>
      </c>
      <c r="B12" t="s">
        <v>372</v>
      </c>
      <c r="C12" t="s">
        <v>41</v>
      </c>
      <c r="D12" t="s">
        <v>367</v>
      </c>
      <c r="E12" t="s">
        <v>505</v>
      </c>
      <c r="F12" t="s">
        <v>497</v>
      </c>
      <c r="G12" t="s">
        <v>15</v>
      </c>
      <c r="H12" t="s">
        <v>506</v>
      </c>
    </row>
    <row r="13" spans="1:8" x14ac:dyDescent="0.35">
      <c r="A13" t="s">
        <v>75</v>
      </c>
      <c r="B13" t="s">
        <v>357</v>
      </c>
      <c r="C13" t="s">
        <v>507</v>
      </c>
      <c r="D13" t="s">
        <v>100</v>
      </c>
      <c r="E13" t="s">
        <v>279</v>
      </c>
      <c r="F13" t="s">
        <v>489</v>
      </c>
      <c r="G13" t="s">
        <v>508</v>
      </c>
      <c r="H13" t="s">
        <v>509</v>
      </c>
    </row>
    <row r="14" spans="1:8" x14ac:dyDescent="0.35">
      <c r="A14" t="s">
        <v>80</v>
      </c>
      <c r="B14" t="s">
        <v>375</v>
      </c>
      <c r="C14" t="s">
        <v>185</v>
      </c>
      <c r="D14" t="s">
        <v>110</v>
      </c>
      <c r="E14" t="s">
        <v>510</v>
      </c>
      <c r="F14" t="s">
        <v>511</v>
      </c>
      <c r="G14" t="s">
        <v>512</v>
      </c>
      <c r="H14" t="s">
        <v>513</v>
      </c>
    </row>
    <row r="15" spans="1:8" x14ac:dyDescent="0.35">
      <c r="A15" t="s">
        <v>86</v>
      </c>
      <c r="B15" t="s">
        <v>514</v>
      </c>
      <c r="C15" t="s">
        <v>391</v>
      </c>
      <c r="D15" t="s">
        <v>425</v>
      </c>
      <c r="E15" t="s">
        <v>27</v>
      </c>
      <c r="F15" t="s">
        <v>367</v>
      </c>
      <c r="G15" t="s">
        <v>367</v>
      </c>
      <c r="H15" t="s">
        <v>515</v>
      </c>
    </row>
    <row r="16" spans="1:8" x14ac:dyDescent="0.35">
      <c r="A16" t="s">
        <v>92</v>
      </c>
      <c r="B16" t="s">
        <v>516</v>
      </c>
      <c r="C16" t="s">
        <v>367</v>
      </c>
      <c r="D16" t="s">
        <v>51</v>
      </c>
      <c r="E16" t="s">
        <v>517</v>
      </c>
      <c r="F16" t="s">
        <v>167</v>
      </c>
      <c r="G16" t="s">
        <v>320</v>
      </c>
      <c r="H16" t="s">
        <v>518</v>
      </c>
    </row>
    <row r="17" spans="1:8" x14ac:dyDescent="0.35">
      <c r="A17" t="s">
        <v>97</v>
      </c>
      <c r="B17" t="s">
        <v>64</v>
      </c>
      <c r="C17" t="s">
        <v>404</v>
      </c>
      <c r="D17" t="s">
        <v>519</v>
      </c>
      <c r="E17" t="s">
        <v>520</v>
      </c>
      <c r="F17" t="s">
        <v>433</v>
      </c>
      <c r="G17" t="s">
        <v>68</v>
      </c>
      <c r="H17" t="s">
        <v>521</v>
      </c>
    </row>
    <row r="18" spans="1:8" x14ac:dyDescent="0.35">
      <c r="A18" t="s">
        <v>102</v>
      </c>
      <c r="B18" t="s">
        <v>180</v>
      </c>
      <c r="C18" t="s">
        <v>51</v>
      </c>
      <c r="D18" t="s">
        <v>418</v>
      </c>
      <c r="E18" t="s">
        <v>403</v>
      </c>
      <c r="F18" t="s">
        <v>511</v>
      </c>
      <c r="G18" t="s">
        <v>354</v>
      </c>
      <c r="H18" t="s">
        <v>522</v>
      </c>
    </row>
    <row r="19" spans="1:8" x14ac:dyDescent="0.35">
      <c r="A19" t="s">
        <v>107</v>
      </c>
      <c r="B19" t="s">
        <v>9</v>
      </c>
      <c r="C19" t="s">
        <v>9</v>
      </c>
      <c r="D19" t="s">
        <v>9</v>
      </c>
      <c r="E19" t="s">
        <v>439</v>
      </c>
      <c r="F19" t="s">
        <v>115</v>
      </c>
      <c r="G19" t="s">
        <v>137</v>
      </c>
      <c r="H19" t="s">
        <v>440</v>
      </c>
    </row>
    <row r="20" spans="1:8" x14ac:dyDescent="0.35">
      <c r="A20" t="s">
        <v>112</v>
      </c>
      <c r="B20" t="s">
        <v>103</v>
      </c>
      <c r="C20" t="s">
        <v>16</v>
      </c>
      <c r="D20" t="s">
        <v>274</v>
      </c>
      <c r="E20" t="s">
        <v>441</v>
      </c>
      <c r="F20" t="s">
        <v>76</v>
      </c>
      <c r="G20" t="s">
        <v>442</v>
      </c>
      <c r="H20" t="s">
        <v>443</v>
      </c>
    </row>
    <row r="21" spans="1:8" x14ac:dyDescent="0.35">
      <c r="A21" t="s">
        <v>118</v>
      </c>
      <c r="B21" t="s">
        <v>39</v>
      </c>
      <c r="C21" t="s">
        <v>9</v>
      </c>
      <c r="D21" t="s">
        <v>9</v>
      </c>
      <c r="E21" t="s">
        <v>523</v>
      </c>
      <c r="F21" t="s">
        <v>11</v>
      </c>
      <c r="G21" t="s">
        <v>445</v>
      </c>
      <c r="H21" t="s">
        <v>446</v>
      </c>
    </row>
    <row r="22" spans="1:8" x14ac:dyDescent="0.35">
      <c r="A22" t="s">
        <v>123</v>
      </c>
      <c r="B22" t="s">
        <v>447</v>
      </c>
      <c r="C22" t="s">
        <v>119</v>
      </c>
      <c r="D22" t="s">
        <v>76</v>
      </c>
      <c r="E22" t="s">
        <v>524</v>
      </c>
      <c r="F22" t="s">
        <v>314</v>
      </c>
      <c r="G22" t="s">
        <v>388</v>
      </c>
      <c r="H22" t="s">
        <v>449</v>
      </c>
    </row>
    <row r="23" spans="1:8" x14ac:dyDescent="0.35">
      <c r="A23" t="s">
        <v>128</v>
      </c>
      <c r="B23" t="s">
        <v>9</v>
      </c>
      <c r="C23" t="s">
        <v>9</v>
      </c>
      <c r="D23" t="s">
        <v>9</v>
      </c>
      <c r="E23" t="s">
        <v>483</v>
      </c>
      <c r="F23" t="s">
        <v>16</v>
      </c>
      <c r="G23" t="s">
        <v>137</v>
      </c>
      <c r="H23" t="s">
        <v>440</v>
      </c>
    </row>
    <row r="24" spans="1:8" x14ac:dyDescent="0.35">
      <c r="A24" t="s">
        <v>131</v>
      </c>
      <c r="B24" t="s">
        <v>39</v>
      </c>
      <c r="C24" t="s">
        <v>39</v>
      </c>
      <c r="D24" t="s">
        <v>39</v>
      </c>
      <c r="E24" t="s">
        <v>68</v>
      </c>
      <c r="F24" t="s">
        <v>323</v>
      </c>
      <c r="G24" t="s">
        <v>445</v>
      </c>
      <c r="H24" t="s">
        <v>451</v>
      </c>
    </row>
    <row r="25" spans="1:8" x14ac:dyDescent="0.35">
      <c r="A25" t="s">
        <v>135</v>
      </c>
      <c r="B25" t="s">
        <v>9</v>
      </c>
      <c r="C25" t="s">
        <v>9</v>
      </c>
      <c r="D25" t="s">
        <v>9</v>
      </c>
      <c r="E25" t="s">
        <v>525</v>
      </c>
      <c r="F25" t="s">
        <v>11</v>
      </c>
      <c r="G25" t="s">
        <v>137</v>
      </c>
      <c r="H25" t="s">
        <v>440</v>
      </c>
    </row>
    <row r="26" spans="1:8" x14ac:dyDescent="0.35">
      <c r="A26" t="s">
        <v>139</v>
      </c>
      <c r="B26" t="s">
        <v>9</v>
      </c>
      <c r="C26" t="s">
        <v>9</v>
      </c>
      <c r="D26" t="s">
        <v>9</v>
      </c>
      <c r="E26" t="s">
        <v>65</v>
      </c>
      <c r="F26" t="s">
        <v>105</v>
      </c>
      <c r="G26" t="s">
        <v>137</v>
      </c>
      <c r="H26" t="s">
        <v>440</v>
      </c>
    </row>
    <row r="27" spans="1:8" x14ac:dyDescent="0.35">
      <c r="A27" t="s">
        <v>143</v>
      </c>
      <c r="B27" t="s">
        <v>9</v>
      </c>
      <c r="C27" t="s">
        <v>9</v>
      </c>
      <c r="D27" t="s">
        <v>9</v>
      </c>
      <c r="E27" t="s">
        <v>421</v>
      </c>
      <c r="F27" t="s">
        <v>497</v>
      </c>
      <c r="G27" t="s">
        <v>137</v>
      </c>
      <c r="H27" t="s">
        <v>440</v>
      </c>
    </row>
    <row r="28" spans="1:8" x14ac:dyDescent="0.35">
      <c r="A28" t="s">
        <v>145</v>
      </c>
      <c r="B28" t="s">
        <v>8</v>
      </c>
      <c r="C28" t="s">
        <v>526</v>
      </c>
      <c r="D28" t="s">
        <v>487</v>
      </c>
      <c r="E28" t="s">
        <v>16</v>
      </c>
      <c r="F28" t="s">
        <v>460</v>
      </c>
      <c r="G28" t="s">
        <v>133</v>
      </c>
      <c r="H28" t="s">
        <v>527</v>
      </c>
    </row>
    <row r="29" spans="1:8" x14ac:dyDescent="0.35">
      <c r="A29" t="s">
        <v>150</v>
      </c>
      <c r="B29" t="s">
        <v>9</v>
      </c>
      <c r="C29" t="s">
        <v>9</v>
      </c>
      <c r="D29" t="s">
        <v>9</v>
      </c>
      <c r="E29" t="s">
        <v>472</v>
      </c>
      <c r="F29" t="s">
        <v>460</v>
      </c>
      <c r="G29" t="s">
        <v>137</v>
      </c>
      <c r="H29" t="s">
        <v>440</v>
      </c>
    </row>
    <row r="30" spans="1:8" x14ac:dyDescent="0.35">
      <c r="A30" t="s">
        <v>151</v>
      </c>
      <c r="B30" t="s">
        <v>33</v>
      </c>
      <c r="C30" t="s">
        <v>39</v>
      </c>
      <c r="D30" t="s">
        <v>39</v>
      </c>
      <c r="E30" t="s">
        <v>95</v>
      </c>
      <c r="F30" t="s">
        <v>148</v>
      </c>
      <c r="G30" t="s">
        <v>141</v>
      </c>
      <c r="H30" t="s">
        <v>457</v>
      </c>
    </row>
    <row r="31" spans="1:8" x14ac:dyDescent="0.35">
      <c r="A31" t="s">
        <v>155</v>
      </c>
      <c r="B31" t="s">
        <v>472</v>
      </c>
      <c r="C31" t="s">
        <v>33</v>
      </c>
      <c r="D31" t="s">
        <v>39</v>
      </c>
      <c r="E31" t="s">
        <v>528</v>
      </c>
      <c r="F31" t="s">
        <v>39</v>
      </c>
      <c r="G31" t="s">
        <v>460</v>
      </c>
      <c r="H31" t="s">
        <v>461</v>
      </c>
    </row>
    <row r="32" spans="1:8" x14ac:dyDescent="0.35">
      <c r="A32" t="s">
        <v>160</v>
      </c>
      <c r="B32" t="s">
        <v>33</v>
      </c>
      <c r="C32" t="s">
        <v>400</v>
      </c>
      <c r="D32" t="s">
        <v>487</v>
      </c>
      <c r="E32" t="s">
        <v>9</v>
      </c>
      <c r="F32" t="s">
        <v>529</v>
      </c>
      <c r="G32" t="s">
        <v>141</v>
      </c>
      <c r="H32" t="s">
        <v>530</v>
      </c>
    </row>
    <row r="33" spans="1:8" x14ac:dyDescent="0.35">
      <c r="A33" t="s">
        <v>168</v>
      </c>
      <c r="B33" t="s">
        <v>169</v>
      </c>
      <c r="C33" t="s">
        <v>169</v>
      </c>
      <c r="D33" t="s">
        <v>169</v>
      </c>
      <c r="E33" t="s">
        <v>169</v>
      </c>
      <c r="F33" t="s">
        <v>169</v>
      </c>
      <c r="G33" t="s">
        <v>169</v>
      </c>
      <c r="H33" t="s">
        <v>169</v>
      </c>
    </row>
    <row r="34" spans="1:8" x14ac:dyDescent="0.35">
      <c r="A34" t="s">
        <v>170</v>
      </c>
      <c r="B34" t="s">
        <v>171</v>
      </c>
      <c r="C34" t="s">
        <v>171</v>
      </c>
      <c r="D34" t="s">
        <v>171</v>
      </c>
      <c r="E34" t="s">
        <v>171</v>
      </c>
      <c r="F34" t="s">
        <v>171</v>
      </c>
      <c r="G34" t="s">
        <v>171</v>
      </c>
      <c r="H34" t="s">
        <v>171</v>
      </c>
    </row>
    <row r="35" spans="1:8" x14ac:dyDescent="0.35">
      <c r="A35" t="s">
        <v>172</v>
      </c>
      <c r="B35" t="s">
        <v>113</v>
      </c>
      <c r="C35" t="s">
        <v>65</v>
      </c>
      <c r="D35" t="s">
        <v>113</v>
      </c>
      <c r="E35" t="s">
        <v>42</v>
      </c>
      <c r="F35" t="s">
        <v>497</v>
      </c>
      <c r="G35" t="s">
        <v>116</v>
      </c>
      <c r="H35" t="s">
        <v>463</v>
      </c>
    </row>
    <row r="36" spans="1:8" x14ac:dyDescent="0.35">
      <c r="A36" t="s">
        <v>177</v>
      </c>
      <c r="B36" t="s">
        <v>169</v>
      </c>
      <c r="C36" t="s">
        <v>169</v>
      </c>
      <c r="D36" t="s">
        <v>169</v>
      </c>
      <c r="E36" t="s">
        <v>169</v>
      </c>
      <c r="F36" t="s">
        <v>169</v>
      </c>
      <c r="G36" t="s">
        <v>169</v>
      </c>
      <c r="H36" t="s">
        <v>169</v>
      </c>
    </row>
    <row r="37" spans="1:8" x14ac:dyDescent="0.35">
      <c r="A37" t="s">
        <v>178</v>
      </c>
      <c r="B37" t="s">
        <v>171</v>
      </c>
      <c r="C37" t="s">
        <v>171</v>
      </c>
      <c r="D37" t="s">
        <v>171</v>
      </c>
      <c r="E37" t="s">
        <v>171</v>
      </c>
      <c r="F37" t="s">
        <v>171</v>
      </c>
      <c r="G37" t="s">
        <v>171</v>
      </c>
      <c r="H37" t="s">
        <v>171</v>
      </c>
    </row>
    <row r="38" spans="1:8" x14ac:dyDescent="0.35">
      <c r="A38" t="s">
        <v>179</v>
      </c>
      <c r="B38" t="s">
        <v>464</v>
      </c>
      <c r="C38" t="s">
        <v>374</v>
      </c>
      <c r="D38" t="s">
        <v>51</v>
      </c>
      <c r="E38" t="s">
        <v>531</v>
      </c>
      <c r="F38" t="s">
        <v>41</v>
      </c>
      <c r="G38" t="s">
        <v>100</v>
      </c>
      <c r="H38" t="s">
        <v>532</v>
      </c>
    </row>
    <row r="39" spans="1:8" x14ac:dyDescent="0.35">
      <c r="A39" t="s">
        <v>184</v>
      </c>
      <c r="B39" t="s">
        <v>24</v>
      </c>
      <c r="C39" t="s">
        <v>296</v>
      </c>
      <c r="D39" t="s">
        <v>41</v>
      </c>
      <c r="E39" t="s">
        <v>95</v>
      </c>
      <c r="F39" t="s">
        <v>273</v>
      </c>
      <c r="G39" t="s">
        <v>133</v>
      </c>
      <c r="H39" t="s">
        <v>533</v>
      </c>
    </row>
    <row r="40" spans="1:8" x14ac:dyDescent="0.35">
      <c r="A40" t="s">
        <v>189</v>
      </c>
      <c r="B40" t="s">
        <v>372</v>
      </c>
      <c r="C40" t="s">
        <v>468</v>
      </c>
      <c r="D40" t="s">
        <v>357</v>
      </c>
      <c r="E40" t="s">
        <v>534</v>
      </c>
      <c r="F40" t="s">
        <v>161</v>
      </c>
      <c r="G40" t="s">
        <v>15</v>
      </c>
      <c r="H40" t="s">
        <v>535</v>
      </c>
    </row>
    <row r="41" spans="1:8" x14ac:dyDescent="0.35">
      <c r="A41" t="s">
        <v>193</v>
      </c>
      <c r="B41" t="s">
        <v>103</v>
      </c>
      <c r="C41" t="s">
        <v>373</v>
      </c>
      <c r="D41" t="s">
        <v>468</v>
      </c>
      <c r="E41" t="s">
        <v>536</v>
      </c>
      <c r="F41" t="s">
        <v>341</v>
      </c>
      <c r="G41" t="s">
        <v>105</v>
      </c>
      <c r="H41" t="s">
        <v>537</v>
      </c>
    </row>
    <row r="42" spans="1:8" x14ac:dyDescent="0.35">
      <c r="A42" t="s">
        <v>197</v>
      </c>
      <c r="B42" t="s">
        <v>472</v>
      </c>
      <c r="C42" t="s">
        <v>82</v>
      </c>
      <c r="D42" t="s">
        <v>76</v>
      </c>
      <c r="E42" t="s">
        <v>488</v>
      </c>
      <c r="F42" t="s">
        <v>68</v>
      </c>
      <c r="G42" t="s">
        <v>455</v>
      </c>
      <c r="H42" t="s">
        <v>474</v>
      </c>
    </row>
    <row r="43" spans="1:8" x14ac:dyDescent="0.35">
      <c r="A43" t="s">
        <v>202</v>
      </c>
      <c r="B43" t="s">
        <v>113</v>
      </c>
      <c r="C43" t="s">
        <v>65</v>
      </c>
      <c r="D43" t="s">
        <v>119</v>
      </c>
      <c r="E43" t="s">
        <v>538</v>
      </c>
      <c r="F43" t="s">
        <v>539</v>
      </c>
      <c r="G43" t="s">
        <v>116</v>
      </c>
      <c r="H43" t="s">
        <v>475</v>
      </c>
    </row>
    <row r="44" spans="1:8" x14ac:dyDescent="0.35">
      <c r="A44" t="s">
        <v>207</v>
      </c>
      <c r="B44" t="s">
        <v>119</v>
      </c>
      <c r="C44" t="s">
        <v>65</v>
      </c>
      <c r="D44" t="s">
        <v>82</v>
      </c>
      <c r="E44" t="s">
        <v>81</v>
      </c>
      <c r="F44" t="s">
        <v>423</v>
      </c>
      <c r="G44" t="s">
        <v>412</v>
      </c>
      <c r="H44" t="s">
        <v>477</v>
      </c>
    </row>
    <row r="45" spans="1:8" x14ac:dyDescent="0.35">
      <c r="A45" t="s">
        <v>212</v>
      </c>
      <c r="B45" t="s">
        <v>406</v>
      </c>
      <c r="C45" t="s">
        <v>65</v>
      </c>
      <c r="D45" t="s">
        <v>82</v>
      </c>
      <c r="E45" t="s">
        <v>540</v>
      </c>
      <c r="F45" t="s">
        <v>337</v>
      </c>
      <c r="G45" t="s">
        <v>408</v>
      </c>
      <c r="H45" t="s">
        <v>479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EC1A-ED5B-48B2-9E27-422463BB8DBF}">
  <dimension ref="A1:J73"/>
  <sheetViews>
    <sheetView tabSelected="1" workbookViewId="0">
      <selection activeCell="J1" sqref="J1"/>
    </sheetView>
  </sheetViews>
  <sheetFormatPr defaultRowHeight="14.5" x14ac:dyDescent="0.35"/>
  <cols>
    <col min="2" max="2" width="13.90625" bestFit="1" customWidth="1"/>
    <col min="4" max="4" width="15" bestFit="1" customWidth="1"/>
    <col min="5" max="5" width="13.90625" customWidth="1"/>
  </cols>
  <sheetData>
    <row r="1" spans="1:10" x14ac:dyDescent="0.35">
      <c r="A1" t="s">
        <v>0</v>
      </c>
      <c r="B1" t="s">
        <v>6</v>
      </c>
      <c r="C1" t="s">
        <v>269</v>
      </c>
      <c r="G1" t="s">
        <v>0</v>
      </c>
      <c r="H1" t="s">
        <v>269</v>
      </c>
      <c r="I1" t="s">
        <v>6</v>
      </c>
      <c r="J1" t="str">
        <f>_xlfn.CONCAT(F:F)</f>
        <v xml:space="preserve">Age, RMR, MCHC, ALB, RDW, WBC, LymP, Mon, SegneP, EoP, Lym, MonP, SeneP, Eo, Ba, RBC, Hg, Hem, Plt, MPV, BUN, Ca, TC, HCO3, GGT, Glu, Fe, TP, TG, UA, Cl, Sex, male, ASCVD, angina, Heart attack, Hypertension, , , , , , , , , , </v>
      </c>
    </row>
    <row r="2" spans="1:10" x14ac:dyDescent="0.35">
      <c r="A2" t="s">
        <v>7</v>
      </c>
      <c r="B2" t="s">
        <v>272</v>
      </c>
      <c r="C2" t="s">
        <v>11</v>
      </c>
      <c r="D2" t="s">
        <v>394</v>
      </c>
      <c r="E2" t="s">
        <v>11</v>
      </c>
      <c r="F2" t="str">
        <f>_xlfn.CONCAT(A2,", ")</f>
        <v xml:space="preserve">Age, </v>
      </c>
      <c r="G2" t="s">
        <v>7</v>
      </c>
      <c r="H2" t="s">
        <v>11</v>
      </c>
      <c r="I2" t="s">
        <v>394</v>
      </c>
    </row>
    <row r="3" spans="1:10" x14ac:dyDescent="0.35">
      <c r="A3" t="s">
        <v>14</v>
      </c>
      <c r="B3" t="s">
        <v>277</v>
      </c>
      <c r="C3" t="s">
        <v>11</v>
      </c>
      <c r="D3" t="s">
        <v>398</v>
      </c>
      <c r="E3" t="s">
        <v>11</v>
      </c>
      <c r="F3" t="str">
        <f t="shared" ref="F3:F46" si="0">_xlfn.CONCAT(A3,", ")</f>
        <v xml:space="preserve">RMR, </v>
      </c>
      <c r="G3" t="s">
        <v>14</v>
      </c>
      <c r="H3" t="s">
        <v>11</v>
      </c>
      <c r="I3" t="s">
        <v>398</v>
      </c>
    </row>
    <row r="4" spans="1:10" x14ac:dyDescent="0.35">
      <c r="A4" t="s">
        <v>20</v>
      </c>
      <c r="B4" t="s">
        <v>282</v>
      </c>
      <c r="C4" t="s">
        <v>11</v>
      </c>
      <c r="D4" t="s">
        <v>485</v>
      </c>
      <c r="E4" t="s">
        <v>455</v>
      </c>
      <c r="F4" t="str">
        <f t="shared" si="0"/>
        <v xml:space="preserve">MCHC, </v>
      </c>
      <c r="G4" t="s">
        <v>26</v>
      </c>
      <c r="H4" t="s">
        <v>403</v>
      </c>
      <c r="I4" t="s">
        <v>405</v>
      </c>
    </row>
    <row r="5" spans="1:10" x14ac:dyDescent="0.35">
      <c r="A5" t="s">
        <v>26</v>
      </c>
      <c r="B5" t="s">
        <v>286</v>
      </c>
      <c r="C5" t="s">
        <v>11</v>
      </c>
      <c r="D5" t="s">
        <v>405</v>
      </c>
      <c r="E5" t="s">
        <v>403</v>
      </c>
      <c r="F5" t="str">
        <f t="shared" si="0"/>
        <v xml:space="preserve">ALB, </v>
      </c>
      <c r="G5" t="s">
        <v>37</v>
      </c>
      <c r="H5" t="s">
        <v>330</v>
      </c>
      <c r="I5" t="s">
        <v>409</v>
      </c>
    </row>
    <row r="6" spans="1:10" x14ac:dyDescent="0.35">
      <c r="A6" t="s">
        <v>31</v>
      </c>
      <c r="B6" t="s">
        <v>289</v>
      </c>
      <c r="C6" t="s">
        <v>11</v>
      </c>
      <c r="D6" t="s">
        <v>493</v>
      </c>
      <c r="E6" t="s">
        <v>11</v>
      </c>
      <c r="F6" t="str">
        <f t="shared" si="0"/>
        <v xml:space="preserve">RDW, </v>
      </c>
      <c r="G6" t="s">
        <v>44</v>
      </c>
      <c r="H6" t="s">
        <v>364</v>
      </c>
      <c r="I6" t="s">
        <v>411</v>
      </c>
    </row>
    <row r="7" spans="1:10" x14ac:dyDescent="0.35">
      <c r="A7" t="s">
        <v>37</v>
      </c>
      <c r="B7" t="s">
        <v>291</v>
      </c>
      <c r="C7" t="s">
        <v>24</v>
      </c>
      <c r="D7" t="s">
        <v>409</v>
      </c>
      <c r="E7" t="s">
        <v>330</v>
      </c>
      <c r="F7" t="str">
        <f t="shared" si="0"/>
        <v xml:space="preserve">WBC, </v>
      </c>
      <c r="G7" t="s">
        <v>49</v>
      </c>
      <c r="H7" t="s">
        <v>314</v>
      </c>
      <c r="I7" t="s">
        <v>414</v>
      </c>
    </row>
    <row r="8" spans="1:10" x14ac:dyDescent="0.35">
      <c r="A8" t="s">
        <v>44</v>
      </c>
      <c r="B8" t="s">
        <v>295</v>
      </c>
      <c r="C8" t="s">
        <v>11</v>
      </c>
      <c r="D8" t="s">
        <v>411</v>
      </c>
      <c r="E8" t="s">
        <v>364</v>
      </c>
      <c r="F8" t="str">
        <f t="shared" si="0"/>
        <v xml:space="preserve">LymP, </v>
      </c>
      <c r="G8" t="s">
        <v>55</v>
      </c>
      <c r="H8" t="s">
        <v>32</v>
      </c>
      <c r="I8" t="s">
        <v>416</v>
      </c>
    </row>
    <row r="9" spans="1:10" x14ac:dyDescent="0.35">
      <c r="A9" t="s">
        <v>49</v>
      </c>
      <c r="B9" t="s">
        <v>299</v>
      </c>
      <c r="C9" t="s">
        <v>11</v>
      </c>
      <c r="D9" t="s">
        <v>414</v>
      </c>
      <c r="E9" t="s">
        <v>314</v>
      </c>
      <c r="F9" t="str">
        <f t="shared" si="0"/>
        <v xml:space="preserve">Mon, </v>
      </c>
      <c r="G9" t="s">
        <v>59</v>
      </c>
      <c r="H9" t="s">
        <v>403</v>
      </c>
      <c r="I9" t="s">
        <v>417</v>
      </c>
    </row>
    <row r="10" spans="1:10" x14ac:dyDescent="0.35">
      <c r="A10" t="s">
        <v>55</v>
      </c>
      <c r="B10" t="s">
        <v>301</v>
      </c>
      <c r="C10" t="s">
        <v>11</v>
      </c>
      <c r="D10" t="s">
        <v>416</v>
      </c>
      <c r="E10" t="s">
        <v>32</v>
      </c>
      <c r="F10" t="str">
        <f t="shared" si="0"/>
        <v xml:space="preserve">SegneP, </v>
      </c>
      <c r="G10" t="s">
        <v>63</v>
      </c>
      <c r="H10" t="s">
        <v>419</v>
      </c>
      <c r="I10" t="s">
        <v>420</v>
      </c>
    </row>
    <row r="11" spans="1:10" x14ac:dyDescent="0.35">
      <c r="A11" t="s">
        <v>59</v>
      </c>
      <c r="B11" t="s">
        <v>304</v>
      </c>
      <c r="C11" t="s">
        <v>303</v>
      </c>
      <c r="D11" t="s">
        <v>417</v>
      </c>
      <c r="E11" t="s">
        <v>403</v>
      </c>
      <c r="F11" t="str">
        <f t="shared" si="0"/>
        <v xml:space="preserve">EoP, </v>
      </c>
      <c r="G11" t="s">
        <v>70</v>
      </c>
      <c r="H11" t="s">
        <v>364</v>
      </c>
      <c r="I11" t="s">
        <v>422</v>
      </c>
    </row>
    <row r="12" spans="1:10" x14ac:dyDescent="0.35">
      <c r="A12" t="s">
        <v>63</v>
      </c>
      <c r="B12" t="s">
        <v>308</v>
      </c>
      <c r="C12" t="s">
        <v>33</v>
      </c>
      <c r="D12" t="s">
        <v>420</v>
      </c>
      <c r="E12" t="s">
        <v>419</v>
      </c>
      <c r="F12" t="str">
        <f t="shared" si="0"/>
        <v xml:space="preserve">Lym, </v>
      </c>
      <c r="G12" t="s">
        <v>75</v>
      </c>
      <c r="H12" t="s">
        <v>424</v>
      </c>
      <c r="I12" t="s">
        <v>426</v>
      </c>
    </row>
    <row r="13" spans="1:10" x14ac:dyDescent="0.35">
      <c r="A13" t="s">
        <v>70</v>
      </c>
      <c r="B13" t="s">
        <v>310</v>
      </c>
      <c r="C13" t="s">
        <v>11</v>
      </c>
      <c r="D13" t="s">
        <v>422</v>
      </c>
      <c r="E13" t="s">
        <v>364</v>
      </c>
      <c r="F13" t="str">
        <f t="shared" si="0"/>
        <v xml:space="preserve">MonP, </v>
      </c>
      <c r="G13" t="s">
        <v>80</v>
      </c>
      <c r="H13" t="s">
        <v>88</v>
      </c>
      <c r="I13" t="s">
        <v>428</v>
      </c>
    </row>
    <row r="14" spans="1:10" x14ac:dyDescent="0.35">
      <c r="A14" t="s">
        <v>75</v>
      </c>
      <c r="B14" t="s">
        <v>312</v>
      </c>
      <c r="C14" t="s">
        <v>11</v>
      </c>
      <c r="D14" t="s">
        <v>426</v>
      </c>
      <c r="E14" t="s">
        <v>424</v>
      </c>
      <c r="F14" t="str">
        <f t="shared" si="0"/>
        <v xml:space="preserve">SeneP, </v>
      </c>
      <c r="G14" t="s">
        <v>86</v>
      </c>
      <c r="H14" t="s">
        <v>367</v>
      </c>
      <c r="I14" t="s">
        <v>430</v>
      </c>
    </row>
    <row r="15" spans="1:10" x14ac:dyDescent="0.35">
      <c r="A15" t="s">
        <v>80</v>
      </c>
      <c r="B15" t="s">
        <v>318</v>
      </c>
      <c r="C15" t="s">
        <v>316</v>
      </c>
      <c r="D15" t="s">
        <v>428</v>
      </c>
      <c r="E15" t="s">
        <v>88</v>
      </c>
      <c r="F15" t="str">
        <f t="shared" si="0"/>
        <v xml:space="preserve">Eo, </v>
      </c>
      <c r="G15" t="s">
        <v>92</v>
      </c>
      <c r="H15" t="s">
        <v>115</v>
      </c>
      <c r="I15" t="s">
        <v>434</v>
      </c>
    </row>
    <row r="16" spans="1:10" x14ac:dyDescent="0.35">
      <c r="A16" t="s">
        <v>86</v>
      </c>
      <c r="B16" t="s">
        <v>324</v>
      </c>
      <c r="C16" t="s">
        <v>279</v>
      </c>
      <c r="D16" t="s">
        <v>430</v>
      </c>
      <c r="E16" t="s">
        <v>367</v>
      </c>
      <c r="F16" t="str">
        <f t="shared" si="0"/>
        <v xml:space="preserve">Ba, </v>
      </c>
      <c r="G16" t="s">
        <v>97</v>
      </c>
      <c r="H16" t="s">
        <v>285</v>
      </c>
      <c r="I16" t="s">
        <v>436</v>
      </c>
    </row>
    <row r="17" spans="1:9" x14ac:dyDescent="0.35">
      <c r="A17" t="s">
        <v>92</v>
      </c>
      <c r="B17" t="s">
        <v>327</v>
      </c>
      <c r="C17" t="s">
        <v>11</v>
      </c>
      <c r="D17" t="s">
        <v>434</v>
      </c>
      <c r="E17" t="s">
        <v>115</v>
      </c>
      <c r="F17" t="str">
        <f t="shared" si="0"/>
        <v xml:space="preserve">RBC, </v>
      </c>
      <c r="G17" t="s">
        <v>102</v>
      </c>
      <c r="H17" t="s">
        <v>51</v>
      </c>
      <c r="I17" t="s">
        <v>438</v>
      </c>
    </row>
    <row r="18" spans="1:9" x14ac:dyDescent="0.35">
      <c r="A18" t="s">
        <v>97</v>
      </c>
      <c r="B18" t="s">
        <v>331</v>
      </c>
      <c r="C18" t="s">
        <v>11</v>
      </c>
      <c r="D18" t="s">
        <v>436</v>
      </c>
      <c r="E18" t="s">
        <v>285</v>
      </c>
      <c r="F18" t="str">
        <f t="shared" si="0"/>
        <v xml:space="preserve">Hg, </v>
      </c>
      <c r="G18" t="s">
        <v>107</v>
      </c>
      <c r="H18" t="s">
        <v>115</v>
      </c>
      <c r="I18" t="s">
        <v>440</v>
      </c>
    </row>
    <row r="19" spans="1:9" x14ac:dyDescent="0.35">
      <c r="A19" t="s">
        <v>102</v>
      </c>
      <c r="B19" t="s">
        <v>334</v>
      </c>
      <c r="C19" t="s">
        <v>11</v>
      </c>
      <c r="D19" t="s">
        <v>438</v>
      </c>
      <c r="E19" t="s">
        <v>51</v>
      </c>
      <c r="F19" t="str">
        <f t="shared" si="0"/>
        <v xml:space="preserve">Hem, </v>
      </c>
      <c r="G19" t="s">
        <v>112</v>
      </c>
      <c r="H19" t="s">
        <v>76</v>
      </c>
      <c r="I19" t="s">
        <v>443</v>
      </c>
    </row>
    <row r="20" spans="1:9" x14ac:dyDescent="0.35">
      <c r="A20" t="s">
        <v>107</v>
      </c>
      <c r="B20" t="s">
        <v>138</v>
      </c>
      <c r="C20" t="s">
        <v>33</v>
      </c>
      <c r="D20" t="s">
        <v>440</v>
      </c>
      <c r="E20" t="s">
        <v>115</v>
      </c>
      <c r="F20" t="str">
        <f t="shared" si="0"/>
        <v xml:space="preserve">Plt, </v>
      </c>
      <c r="G20" t="s">
        <v>118</v>
      </c>
      <c r="H20" t="s">
        <v>11</v>
      </c>
      <c r="I20" t="s">
        <v>446</v>
      </c>
    </row>
    <row r="21" spans="1:9" x14ac:dyDescent="0.35">
      <c r="A21" t="s">
        <v>112</v>
      </c>
      <c r="B21" t="s">
        <v>338</v>
      </c>
      <c r="C21" t="s">
        <v>337</v>
      </c>
      <c r="D21" t="s">
        <v>443</v>
      </c>
      <c r="E21" t="s">
        <v>76</v>
      </c>
      <c r="F21" t="str">
        <f t="shared" si="0"/>
        <v xml:space="preserve">MPV, </v>
      </c>
      <c r="G21" t="s">
        <v>123</v>
      </c>
      <c r="H21" t="s">
        <v>314</v>
      </c>
      <c r="I21" t="s">
        <v>449</v>
      </c>
    </row>
    <row r="22" spans="1:9" x14ac:dyDescent="0.35">
      <c r="A22" t="s">
        <v>118</v>
      </c>
      <c r="B22" t="s">
        <v>58</v>
      </c>
      <c r="C22" t="s">
        <v>11</v>
      </c>
      <c r="D22" t="s">
        <v>446</v>
      </c>
      <c r="E22" t="s">
        <v>11</v>
      </c>
      <c r="F22" t="str">
        <f t="shared" si="0"/>
        <v xml:space="preserve">BUN, </v>
      </c>
      <c r="G22" t="s">
        <v>128</v>
      </c>
      <c r="H22" t="s">
        <v>16</v>
      </c>
      <c r="I22" t="s">
        <v>440</v>
      </c>
    </row>
    <row r="23" spans="1:9" x14ac:dyDescent="0.35">
      <c r="A23" t="s">
        <v>123</v>
      </c>
      <c r="B23" t="s">
        <v>342</v>
      </c>
      <c r="C23" t="s">
        <v>16</v>
      </c>
      <c r="D23" t="s">
        <v>449</v>
      </c>
      <c r="E23" t="s">
        <v>314</v>
      </c>
      <c r="F23" t="str">
        <f t="shared" si="0"/>
        <v xml:space="preserve">Ca, </v>
      </c>
      <c r="G23" t="s">
        <v>131</v>
      </c>
      <c r="H23" t="s">
        <v>323</v>
      </c>
      <c r="I23" t="s">
        <v>451</v>
      </c>
    </row>
    <row r="24" spans="1:9" x14ac:dyDescent="0.35">
      <c r="A24" t="s">
        <v>128</v>
      </c>
      <c r="B24" t="s">
        <v>138</v>
      </c>
      <c r="C24" t="s">
        <v>16</v>
      </c>
      <c r="D24" t="s">
        <v>440</v>
      </c>
      <c r="E24" t="s">
        <v>16</v>
      </c>
      <c r="F24" t="str">
        <f t="shared" si="0"/>
        <v xml:space="preserve">TC, </v>
      </c>
      <c r="G24" t="s">
        <v>135</v>
      </c>
      <c r="H24" t="s">
        <v>11</v>
      </c>
      <c r="I24" t="s">
        <v>440</v>
      </c>
    </row>
    <row r="25" spans="1:9" x14ac:dyDescent="0.35">
      <c r="A25" t="s">
        <v>131</v>
      </c>
      <c r="B25" t="s">
        <v>345</v>
      </c>
      <c r="C25" t="s">
        <v>67</v>
      </c>
      <c r="D25" t="s">
        <v>451</v>
      </c>
      <c r="E25" t="s">
        <v>323</v>
      </c>
      <c r="F25" t="str">
        <f t="shared" si="0"/>
        <v xml:space="preserve">HCO3, </v>
      </c>
      <c r="G25" t="s">
        <v>139</v>
      </c>
      <c r="H25" t="s">
        <v>453</v>
      </c>
      <c r="I25" t="s">
        <v>440</v>
      </c>
    </row>
    <row r="26" spans="1:9" x14ac:dyDescent="0.35">
      <c r="A26" t="s">
        <v>135</v>
      </c>
      <c r="B26" t="s">
        <v>138</v>
      </c>
      <c r="C26" t="s">
        <v>274</v>
      </c>
      <c r="D26" t="s">
        <v>440</v>
      </c>
      <c r="E26" t="s">
        <v>11</v>
      </c>
      <c r="F26" t="str">
        <f t="shared" si="0"/>
        <v xml:space="preserve">GGT, </v>
      </c>
      <c r="G26" t="s">
        <v>143</v>
      </c>
      <c r="H26" t="s">
        <v>373</v>
      </c>
      <c r="I26" t="s">
        <v>440</v>
      </c>
    </row>
    <row r="27" spans="1:9" x14ac:dyDescent="0.35">
      <c r="A27" t="s">
        <v>139</v>
      </c>
      <c r="B27" t="s">
        <v>138</v>
      </c>
      <c r="C27" t="s">
        <v>274</v>
      </c>
      <c r="D27" t="s">
        <v>440</v>
      </c>
      <c r="E27" t="s">
        <v>453</v>
      </c>
      <c r="F27" t="str">
        <f t="shared" si="0"/>
        <v xml:space="preserve">Glu, </v>
      </c>
      <c r="G27" t="s">
        <v>145</v>
      </c>
      <c r="H27" t="s">
        <v>455</v>
      </c>
      <c r="I27" t="s">
        <v>456</v>
      </c>
    </row>
    <row r="28" spans="1:9" x14ac:dyDescent="0.35">
      <c r="A28" t="s">
        <v>143</v>
      </c>
      <c r="B28" t="s">
        <v>111</v>
      </c>
      <c r="C28" t="s">
        <v>11</v>
      </c>
      <c r="D28" t="s">
        <v>440</v>
      </c>
      <c r="E28" t="s">
        <v>373</v>
      </c>
      <c r="F28" t="str">
        <f t="shared" si="0"/>
        <v xml:space="preserve">Fe, </v>
      </c>
      <c r="G28" t="s">
        <v>150</v>
      </c>
      <c r="H28" t="s">
        <v>294</v>
      </c>
      <c r="I28" t="s">
        <v>440</v>
      </c>
    </row>
    <row r="29" spans="1:9" x14ac:dyDescent="0.35">
      <c r="A29" t="s">
        <v>145</v>
      </c>
      <c r="B29" t="s">
        <v>350</v>
      </c>
      <c r="C29" t="s">
        <v>313</v>
      </c>
      <c r="D29" t="s">
        <v>456</v>
      </c>
      <c r="E29" t="s">
        <v>455</v>
      </c>
      <c r="F29" t="str">
        <f t="shared" si="0"/>
        <v xml:space="preserve">TP, </v>
      </c>
      <c r="G29" t="s">
        <v>151</v>
      </c>
      <c r="H29" t="s">
        <v>148</v>
      </c>
      <c r="I29" t="s">
        <v>457</v>
      </c>
    </row>
    <row r="30" spans="1:9" x14ac:dyDescent="0.35">
      <c r="A30" t="s">
        <v>150</v>
      </c>
      <c r="B30" t="s">
        <v>138</v>
      </c>
      <c r="C30" t="s">
        <v>352</v>
      </c>
      <c r="D30" t="s">
        <v>440</v>
      </c>
      <c r="E30" t="s">
        <v>294</v>
      </c>
      <c r="F30" t="str">
        <f t="shared" si="0"/>
        <v xml:space="preserve">TG, </v>
      </c>
      <c r="G30" t="s">
        <v>155</v>
      </c>
      <c r="H30" t="s">
        <v>39</v>
      </c>
      <c r="I30" t="s">
        <v>461</v>
      </c>
    </row>
    <row r="31" spans="1:9" x14ac:dyDescent="0.35">
      <c r="A31" t="s">
        <v>151</v>
      </c>
      <c r="B31" t="s">
        <v>355</v>
      </c>
      <c r="C31" t="s">
        <v>11</v>
      </c>
      <c r="D31" t="s">
        <v>457</v>
      </c>
      <c r="E31" t="s">
        <v>148</v>
      </c>
      <c r="F31" t="str">
        <f t="shared" si="0"/>
        <v xml:space="preserve">UA, </v>
      </c>
      <c r="G31" t="s">
        <v>160</v>
      </c>
      <c r="H31" t="s">
        <v>110</v>
      </c>
      <c r="I31" t="s">
        <v>462</v>
      </c>
    </row>
    <row r="32" spans="1:9" x14ac:dyDescent="0.35">
      <c r="A32" t="s">
        <v>155</v>
      </c>
      <c r="B32" t="s">
        <v>334</v>
      </c>
      <c r="C32" t="s">
        <v>11</v>
      </c>
      <c r="D32" t="s">
        <v>461</v>
      </c>
      <c r="E32" t="s">
        <v>39</v>
      </c>
      <c r="F32" t="str">
        <f t="shared" si="0"/>
        <v xml:space="preserve">Cl, </v>
      </c>
      <c r="G32" t="s">
        <v>168</v>
      </c>
      <c r="H32" t="s">
        <v>169</v>
      </c>
      <c r="I32" t="s">
        <v>169</v>
      </c>
    </row>
    <row r="33" spans="1:9" x14ac:dyDescent="0.35">
      <c r="A33" t="s">
        <v>541</v>
      </c>
      <c r="B33" t="s">
        <v>366</v>
      </c>
      <c r="C33" t="s">
        <v>364</v>
      </c>
      <c r="D33" t="s">
        <v>463</v>
      </c>
      <c r="E33" t="s">
        <v>32</v>
      </c>
      <c r="F33" t="str">
        <f t="shared" si="0"/>
        <v xml:space="preserve">Sex, male, </v>
      </c>
      <c r="G33" t="s">
        <v>170</v>
      </c>
      <c r="H33" t="s">
        <v>171</v>
      </c>
      <c r="I33" t="s">
        <v>171</v>
      </c>
    </row>
    <row r="34" spans="1:9" x14ac:dyDescent="0.35">
      <c r="A34" t="s">
        <v>197</v>
      </c>
      <c r="B34" t="s">
        <v>382</v>
      </c>
      <c r="C34" t="s">
        <v>113</v>
      </c>
      <c r="D34" t="s">
        <v>474</v>
      </c>
      <c r="E34" t="s">
        <v>68</v>
      </c>
      <c r="F34" t="str">
        <f t="shared" si="0"/>
        <v xml:space="preserve">ASCVD, </v>
      </c>
      <c r="G34" t="s">
        <v>172</v>
      </c>
      <c r="H34" t="s">
        <v>32</v>
      </c>
      <c r="I34" t="s">
        <v>463</v>
      </c>
    </row>
    <row r="35" spans="1:9" x14ac:dyDescent="0.35">
      <c r="A35" t="s">
        <v>202</v>
      </c>
      <c r="B35" t="s">
        <v>387</v>
      </c>
      <c r="C35" t="s">
        <v>385</v>
      </c>
      <c r="D35" t="s">
        <v>475</v>
      </c>
      <c r="E35" t="s">
        <v>296</v>
      </c>
      <c r="F35" t="str">
        <f t="shared" si="0"/>
        <v xml:space="preserve">angina, </v>
      </c>
      <c r="G35" t="s">
        <v>177</v>
      </c>
      <c r="H35" t="s">
        <v>169</v>
      </c>
      <c r="I35" t="s">
        <v>169</v>
      </c>
    </row>
    <row r="36" spans="1:9" x14ac:dyDescent="0.35">
      <c r="A36" s="1" t="s">
        <v>542</v>
      </c>
      <c r="B36" t="s">
        <v>389</v>
      </c>
      <c r="C36" t="s">
        <v>388</v>
      </c>
      <c r="D36" t="s">
        <v>477</v>
      </c>
      <c r="E36" t="s">
        <v>476</v>
      </c>
      <c r="F36" t="str">
        <f t="shared" si="0"/>
        <v xml:space="preserve">Heart attack, </v>
      </c>
      <c r="G36" t="s">
        <v>178</v>
      </c>
      <c r="H36" t="s">
        <v>171</v>
      </c>
      <c r="I36" t="s">
        <v>171</v>
      </c>
    </row>
    <row r="37" spans="1:9" x14ac:dyDescent="0.35">
      <c r="A37" t="s">
        <v>212</v>
      </c>
      <c r="B37" t="s">
        <v>392</v>
      </c>
      <c r="C37" t="s">
        <v>180</v>
      </c>
      <c r="D37" t="s">
        <v>479</v>
      </c>
      <c r="E37" t="s">
        <v>337</v>
      </c>
      <c r="F37" t="str">
        <f t="shared" si="0"/>
        <v xml:space="preserve">Hypertension, </v>
      </c>
      <c r="G37" t="s">
        <v>179</v>
      </c>
      <c r="H37" t="s">
        <v>41</v>
      </c>
      <c r="I37" t="s">
        <v>466</v>
      </c>
    </row>
    <row r="38" spans="1:9" x14ac:dyDescent="0.35">
      <c r="A38" s="1"/>
      <c r="F38" t="str">
        <f t="shared" si="0"/>
        <v xml:space="preserve">, </v>
      </c>
      <c r="G38" t="s">
        <v>184</v>
      </c>
      <c r="H38" t="s">
        <v>273</v>
      </c>
      <c r="I38" t="s">
        <v>467</v>
      </c>
    </row>
    <row r="39" spans="1:9" x14ac:dyDescent="0.35">
      <c r="A39" s="1"/>
      <c r="F39" t="str">
        <f t="shared" si="0"/>
        <v xml:space="preserve">, </v>
      </c>
      <c r="G39" t="s">
        <v>189</v>
      </c>
      <c r="H39" t="s">
        <v>316</v>
      </c>
      <c r="I39" t="s">
        <v>469</v>
      </c>
    </row>
    <row r="40" spans="1:9" x14ac:dyDescent="0.35">
      <c r="A40" s="1"/>
      <c r="F40" t="str">
        <f t="shared" si="0"/>
        <v xml:space="preserve">, </v>
      </c>
      <c r="G40" t="s">
        <v>193</v>
      </c>
      <c r="H40" t="s">
        <v>470</v>
      </c>
      <c r="I40" t="s">
        <v>471</v>
      </c>
    </row>
    <row r="41" spans="1:9" x14ac:dyDescent="0.35">
      <c r="A41" s="1"/>
      <c r="F41" t="str">
        <f t="shared" si="0"/>
        <v xml:space="preserve">, </v>
      </c>
      <c r="G41" t="s">
        <v>197</v>
      </c>
      <c r="H41" t="s">
        <v>68</v>
      </c>
      <c r="I41" t="s">
        <v>474</v>
      </c>
    </row>
    <row r="42" spans="1:9" x14ac:dyDescent="0.35">
      <c r="A42" s="1"/>
      <c r="F42" t="str">
        <f t="shared" si="0"/>
        <v xml:space="preserve">, </v>
      </c>
      <c r="G42" t="s">
        <v>202</v>
      </c>
      <c r="H42" t="s">
        <v>296</v>
      </c>
      <c r="I42" t="s">
        <v>475</v>
      </c>
    </row>
    <row r="43" spans="1:9" x14ac:dyDescent="0.35">
      <c r="A43" s="1"/>
      <c r="F43" t="str">
        <f t="shared" si="0"/>
        <v xml:space="preserve">, </v>
      </c>
      <c r="G43" t="s">
        <v>207</v>
      </c>
      <c r="H43" t="s">
        <v>476</v>
      </c>
      <c r="I43" t="s">
        <v>477</v>
      </c>
    </row>
    <row r="44" spans="1:9" x14ac:dyDescent="0.35">
      <c r="A44" s="1"/>
      <c r="F44" t="str">
        <f t="shared" si="0"/>
        <v xml:space="preserve">, </v>
      </c>
      <c r="G44" t="s">
        <v>212</v>
      </c>
      <c r="H44" t="s">
        <v>337</v>
      </c>
      <c r="I44" t="s">
        <v>479</v>
      </c>
    </row>
    <row r="45" spans="1:9" x14ac:dyDescent="0.35">
      <c r="A45" s="1"/>
      <c r="F45" t="str">
        <f t="shared" si="0"/>
        <v xml:space="preserve">, </v>
      </c>
      <c r="G45" t="s">
        <v>20</v>
      </c>
      <c r="H45" t="s">
        <v>455</v>
      </c>
      <c r="I45" t="s">
        <v>485</v>
      </c>
    </row>
    <row r="46" spans="1:9" x14ac:dyDescent="0.35">
      <c r="A46" s="1"/>
      <c r="F46" t="str">
        <f t="shared" si="0"/>
        <v xml:space="preserve">, </v>
      </c>
      <c r="G46" t="s">
        <v>31</v>
      </c>
      <c r="H46" t="s">
        <v>11</v>
      </c>
      <c r="I46" t="s">
        <v>493</v>
      </c>
    </row>
    <row r="47" spans="1:9" x14ac:dyDescent="0.35">
      <c r="A47" s="1"/>
    </row>
    <row r="48" spans="1:9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ht="15" thickBot="1" x14ac:dyDescent="0.4">
      <c r="A73" s="2"/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uni_lo</vt:lpstr>
      <vt:lpstr>adj_lo1</vt:lpstr>
      <vt:lpstr>adj_lo2</vt:lpstr>
      <vt:lpstr>adj_log_merge</vt:lpstr>
      <vt:lpstr>uni_cox</vt:lpstr>
      <vt:lpstr>adj_cox1</vt:lpstr>
      <vt:lpstr>adj_cox2</vt:lpstr>
      <vt:lpstr>adj_cox_merge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</dc:creator>
  <cp:lastModifiedBy>zl</cp:lastModifiedBy>
  <dcterms:created xsi:type="dcterms:W3CDTF">2023-05-28T13:51:09Z</dcterms:created>
  <dcterms:modified xsi:type="dcterms:W3CDTF">2023-05-28T06:38:44Z</dcterms:modified>
</cp:coreProperties>
</file>